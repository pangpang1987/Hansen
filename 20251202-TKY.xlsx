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esktop\铜矿峪简化\简化反演\"/>
    </mc:Choice>
  </mc:AlternateContent>
  <xr:revisionPtr revIDLastSave="0" documentId="13_ncr:1_{B0D3E75E-083D-4404-8062-FD1AA3CFF677}" xr6:coauthVersionLast="47" xr6:coauthVersionMax="47" xr10:uidLastSave="{00000000-0000-0000-0000-000000000000}"/>
  <bookViews>
    <workbookView xWindow="2510" yWindow="3120" windowWidth="20810" windowHeight="11170" activeTab="2" xr2:uid="{FB8A0170-7DB7-F045-8E75-FAB4F6AF116D}"/>
  </bookViews>
  <sheets>
    <sheet name="roads" sheetId="1" r:id="rId1"/>
    <sheet name="structureHs" sheetId="5" r:id="rId2"/>
    <sheet name="fanHs" sheetId="2" r:id="rId3"/>
  </sheets>
  <definedNames>
    <definedName name="_xlnm._FilterDatabase" localSheetId="0" hidden="1">roads!$A$1:$S$855</definedName>
  </definedNames>
  <calcPr calcId="181029"/>
</workbook>
</file>

<file path=xl/calcChain.xml><?xml version="1.0" encoding="utf-8"?>
<calcChain xmlns="http://schemas.openxmlformats.org/spreadsheetml/2006/main">
  <c r="K858" i="1" l="1"/>
  <c r="K1103" i="1"/>
  <c r="K417" i="1"/>
  <c r="K48" i="1"/>
  <c r="K1117" i="1"/>
  <c r="K236" i="1"/>
  <c r="K500" i="1"/>
  <c r="K364" i="1"/>
  <c r="K143" i="1"/>
  <c r="K747" i="1"/>
  <c r="K917" i="1"/>
  <c r="K534" i="1"/>
  <c r="K229" i="1"/>
  <c r="K76" i="1"/>
  <c r="K71" i="1"/>
  <c r="K440" i="1"/>
  <c r="K694" i="1"/>
  <c r="K37" i="1"/>
  <c r="K80" i="1"/>
  <c r="K685" i="1"/>
  <c r="K827" i="1"/>
  <c r="K693" i="1"/>
  <c r="K555" i="1"/>
  <c r="K857" i="1"/>
  <c r="K180" i="1"/>
  <c r="K36" i="1"/>
  <c r="K386" i="1"/>
  <c r="K907" i="1"/>
  <c r="K280" i="1"/>
  <c r="K458" i="1"/>
  <c r="K53" i="1"/>
  <c r="K183" i="1"/>
  <c r="K93" i="1"/>
  <c r="K578" i="1"/>
  <c r="K224" i="1"/>
  <c r="K390" i="1"/>
  <c r="K5" i="1"/>
  <c r="K376" i="1"/>
  <c r="K60" i="1"/>
  <c r="K901" i="1"/>
  <c r="K27" i="1"/>
  <c r="K1064" i="1"/>
  <c r="K281" i="1"/>
  <c r="K223" i="1"/>
  <c r="K235" i="1"/>
  <c r="K1165" i="1"/>
  <c r="K388" i="1"/>
  <c r="K297" i="1"/>
  <c r="K505" i="1"/>
  <c r="K818" i="1"/>
  <c r="K74" i="1"/>
  <c r="K182" i="1"/>
  <c r="K567" i="1"/>
  <c r="K684" i="1"/>
  <c r="K561" i="1"/>
  <c r="K569" i="1"/>
  <c r="K88" i="1"/>
  <c r="K485" i="1"/>
  <c r="K686" i="1"/>
  <c r="K570" i="1"/>
  <c r="K565" i="1"/>
  <c r="K221" i="1"/>
  <c r="K1000" i="1"/>
  <c r="K75" i="1"/>
  <c r="K222" i="1"/>
  <c r="K516" i="1"/>
  <c r="J858" i="1"/>
  <c r="J1103" i="1"/>
  <c r="J417" i="1"/>
  <c r="J48" i="1"/>
  <c r="J1117" i="1"/>
  <c r="J236" i="1"/>
  <c r="J500" i="1"/>
  <c r="J364" i="1"/>
  <c r="J143" i="1"/>
  <c r="J747" i="1"/>
  <c r="J917" i="1"/>
  <c r="J534" i="1"/>
  <c r="J229" i="1"/>
  <c r="J76" i="1"/>
  <c r="J71" i="1"/>
  <c r="J440" i="1"/>
  <c r="J694" i="1"/>
  <c r="J37" i="1"/>
  <c r="J80" i="1"/>
  <c r="J685" i="1"/>
  <c r="J827" i="1"/>
  <c r="J693" i="1"/>
  <c r="J555" i="1"/>
  <c r="J857" i="1"/>
  <c r="J180" i="1"/>
  <c r="J36" i="1"/>
  <c r="J386" i="1"/>
  <c r="J907" i="1"/>
  <c r="J280" i="1"/>
  <c r="J458" i="1"/>
  <c r="J53" i="1"/>
  <c r="J183" i="1"/>
  <c r="J93" i="1"/>
  <c r="J578" i="1"/>
  <c r="J224" i="1"/>
  <c r="J390" i="1"/>
  <c r="J5" i="1"/>
  <c r="J376" i="1"/>
  <c r="J60" i="1"/>
  <c r="J901" i="1"/>
  <c r="J27" i="1"/>
  <c r="J1064" i="1"/>
  <c r="J281" i="1"/>
  <c r="J223" i="1"/>
  <c r="J235" i="1"/>
  <c r="J1165" i="1"/>
  <c r="J388" i="1"/>
  <c r="J297" i="1"/>
  <c r="J505" i="1"/>
  <c r="J818" i="1"/>
  <c r="J74" i="1"/>
  <c r="J182" i="1"/>
  <c r="J567" i="1"/>
  <c r="J684" i="1"/>
  <c r="J561" i="1"/>
  <c r="J569" i="1"/>
  <c r="J88" i="1"/>
  <c r="J485" i="1"/>
  <c r="J686" i="1"/>
  <c r="J570" i="1"/>
  <c r="J565" i="1"/>
  <c r="J221" i="1"/>
  <c r="J1000" i="1"/>
  <c r="J75" i="1"/>
  <c r="J222" i="1"/>
  <c r="J516" i="1"/>
  <c r="J62" i="1"/>
  <c r="K62" i="1"/>
  <c r="K1002" i="1"/>
  <c r="K925" i="1"/>
  <c r="K274" i="1"/>
  <c r="K849" i="1"/>
  <c r="K496" i="1"/>
  <c r="K158" i="1"/>
  <c r="K707" i="1"/>
  <c r="K441" i="1"/>
  <c r="K247" i="1"/>
  <c r="K141" i="1"/>
  <c r="K712" i="1"/>
  <c r="K89" i="1"/>
  <c r="K962" i="1"/>
  <c r="K214" i="1"/>
  <c r="K764" i="1"/>
  <c r="K422" i="1"/>
  <c r="K770" i="1"/>
  <c r="K740" i="1"/>
  <c r="K249" i="1"/>
  <c r="K239" i="1"/>
  <c r="K903" i="1"/>
  <c r="K245" i="1"/>
  <c r="K433" i="1"/>
  <c r="K1120" i="1"/>
  <c r="K140" i="1"/>
  <c r="K993" i="1"/>
  <c r="K341" i="1"/>
  <c r="K6" i="1"/>
  <c r="K771" i="1"/>
  <c r="K862" i="1"/>
  <c r="K209" i="1"/>
  <c r="K837" i="1"/>
  <c r="K85" i="1"/>
  <c r="K442" i="1"/>
  <c r="K718" i="1"/>
  <c r="K90" i="1"/>
  <c r="K432" i="1"/>
  <c r="K328" i="1"/>
  <c r="K750" i="1"/>
  <c r="K1065" i="1"/>
  <c r="K752" i="1"/>
  <c r="K861" i="1"/>
  <c r="K435" i="1"/>
  <c r="K860" i="1"/>
  <c r="K351" i="1"/>
  <c r="K436" i="1"/>
  <c r="K794" i="1"/>
  <c r="K878" i="1"/>
  <c r="K243" i="1"/>
  <c r="K33" i="1"/>
  <c r="K326" i="1"/>
  <c r="K149" i="1"/>
  <c r="J849" i="1"/>
  <c r="J496" i="1"/>
  <c r="J158" i="1"/>
  <c r="J707" i="1"/>
  <c r="J441" i="1"/>
  <c r="J247" i="1"/>
  <c r="J141" i="1"/>
  <c r="J712" i="1"/>
  <c r="J89" i="1"/>
  <c r="J962" i="1"/>
  <c r="J214" i="1"/>
  <c r="J764" i="1"/>
  <c r="J422" i="1"/>
  <c r="J770" i="1"/>
  <c r="J740" i="1"/>
  <c r="J249" i="1"/>
  <c r="J239" i="1"/>
  <c r="J903" i="1"/>
  <c r="J245" i="1"/>
  <c r="J433" i="1"/>
  <c r="J1120" i="1"/>
  <c r="J140" i="1"/>
  <c r="J993" i="1"/>
  <c r="J341" i="1"/>
  <c r="J6" i="1"/>
  <c r="J771" i="1"/>
  <c r="J862" i="1"/>
  <c r="J209" i="1"/>
  <c r="J837" i="1"/>
  <c r="J85" i="1"/>
  <c r="J442" i="1"/>
  <c r="J718" i="1"/>
  <c r="J90" i="1"/>
  <c r="J432" i="1"/>
  <c r="J328" i="1"/>
  <c r="J750" i="1"/>
  <c r="J1065" i="1"/>
  <c r="J752" i="1"/>
  <c r="J861" i="1"/>
  <c r="J435" i="1"/>
  <c r="J860" i="1"/>
  <c r="J351" i="1"/>
  <c r="J436" i="1"/>
  <c r="J794" i="1"/>
  <c r="J878" i="1"/>
  <c r="J243" i="1"/>
  <c r="J33" i="1"/>
  <c r="J326" i="1"/>
  <c r="J149" i="1"/>
  <c r="J231" i="1"/>
  <c r="K231" i="1"/>
</calcChain>
</file>

<file path=xl/sharedStrings.xml><?xml version="1.0" encoding="utf-8"?>
<sst xmlns="http://schemas.openxmlformats.org/spreadsheetml/2006/main" count="3942" uniqueCount="2124">
  <si>
    <t>id</t>
  </si>
  <si>
    <t>t</t>
  </si>
  <si>
    <t>id</t>
    <phoneticPr fontId="2" type="noConversion"/>
  </si>
  <si>
    <t>use</t>
    <phoneticPr fontId="1" type="noConversion"/>
  </si>
  <si>
    <t>s</t>
    <phoneticPr fontId="1" type="noConversion"/>
  </si>
  <si>
    <t>in</t>
    <phoneticPr fontId="1" type="noConversion"/>
  </si>
  <si>
    <t>pitotLocation</t>
    <phoneticPr fontId="1" type="noConversion"/>
  </si>
  <si>
    <t>direction</t>
    <phoneticPr fontId="1" type="noConversion"/>
  </si>
  <si>
    <t>forward</t>
    <phoneticPr fontId="1" type="noConversion"/>
  </si>
  <si>
    <t>pitotQ</t>
    <phoneticPr fontId="1" type="noConversion"/>
  </si>
  <si>
    <t>minR</t>
    <phoneticPr fontId="1" type="noConversion"/>
  </si>
  <si>
    <t>maxR</t>
    <phoneticPr fontId="1" type="noConversion"/>
  </si>
  <si>
    <t>ex</t>
    <phoneticPr fontId="1" type="noConversion"/>
  </si>
  <si>
    <t>eid</t>
    <phoneticPr fontId="2" type="noConversion"/>
  </si>
  <si>
    <t>h</t>
    <phoneticPr fontId="2" type="noConversion"/>
  </si>
  <si>
    <t>eid</t>
    <phoneticPr fontId="1" type="noConversion"/>
  </si>
  <si>
    <t>targetQ</t>
    <phoneticPr fontId="1" type="noConversion"/>
  </si>
  <si>
    <t>initQ</t>
    <phoneticPr fontId="1" type="noConversion"/>
  </si>
  <si>
    <t>id</t>
    <phoneticPr fontId="1" type="noConversion"/>
  </si>
  <si>
    <t>weight</t>
    <phoneticPr fontId="1" type="noConversion"/>
  </si>
  <si>
    <t>v4</t>
  </si>
  <si>
    <t>v8</t>
  </si>
  <si>
    <t>v31</t>
  </si>
  <si>
    <t>v35</t>
  </si>
  <si>
    <t>v26</t>
  </si>
  <si>
    <t>v6</t>
  </si>
  <si>
    <t>v9</t>
  </si>
  <si>
    <t>v10</t>
  </si>
  <si>
    <t>v20</t>
  </si>
  <si>
    <t>v19</t>
  </si>
  <si>
    <t>v22</t>
  </si>
  <si>
    <t>v27</t>
  </si>
  <si>
    <t>v342</t>
  </si>
  <si>
    <t>v30</t>
  </si>
  <si>
    <t>v39</t>
  </si>
  <si>
    <t>v168</t>
  </si>
  <si>
    <t>v165</t>
  </si>
  <si>
    <t>v52</t>
  </si>
  <si>
    <t>v54</t>
  </si>
  <si>
    <t>v147</t>
  </si>
  <si>
    <t>v58</t>
  </si>
  <si>
    <t>v62</t>
  </si>
  <si>
    <t>v64</t>
  </si>
  <si>
    <t>v70</t>
  </si>
  <si>
    <t>v73</t>
  </si>
  <si>
    <t>v78</t>
  </si>
  <si>
    <t>v86</t>
  </si>
  <si>
    <t>v90</t>
  </si>
  <si>
    <t>v103</t>
  </si>
  <si>
    <t>v99</t>
  </si>
  <si>
    <t>v101</t>
  </si>
  <si>
    <t>v113</t>
  </si>
  <si>
    <t>v111</t>
  </si>
  <si>
    <t>v119</t>
  </si>
  <si>
    <t>v145</t>
  </si>
  <si>
    <t>v116</t>
  </si>
  <si>
    <t>v125</t>
  </si>
  <si>
    <t>v126</t>
  </si>
  <si>
    <t>v144</t>
  </si>
  <si>
    <t>v141</t>
  </si>
  <si>
    <t>v153</t>
  </si>
  <si>
    <t>v167</t>
  </si>
  <si>
    <t>v157</t>
  </si>
  <si>
    <t>v161</t>
  </si>
  <si>
    <t>v159</t>
  </si>
  <si>
    <t>v163</t>
  </si>
  <si>
    <t>v175</t>
  </si>
  <si>
    <t>v176</t>
  </si>
  <si>
    <t>v171</t>
  </si>
  <si>
    <t>v179</t>
  </si>
  <si>
    <t>v181</t>
  </si>
  <si>
    <t>v180</t>
  </si>
  <si>
    <t>v184</t>
  </si>
  <si>
    <t>v185</t>
  </si>
  <si>
    <t>v190</t>
  </si>
  <si>
    <t>v186</t>
  </si>
  <si>
    <t>v192</t>
  </si>
  <si>
    <t>v200</t>
  </si>
  <si>
    <t>v194</t>
  </si>
  <si>
    <t>v199</t>
  </si>
  <si>
    <t>v212</t>
  </si>
  <si>
    <t>v202</t>
  </si>
  <si>
    <t>v225</t>
  </si>
  <si>
    <t>v214</t>
  </si>
  <si>
    <t>v213</t>
  </si>
  <si>
    <t>v209</t>
  </si>
  <si>
    <t>v215</t>
  </si>
  <si>
    <t>v216</t>
  </si>
  <si>
    <t>v222</t>
  </si>
  <si>
    <t>v230</t>
  </si>
  <si>
    <t>v241</t>
  </si>
  <si>
    <t>v237</t>
  </si>
  <si>
    <t>v235</t>
  </si>
  <si>
    <t>v239</t>
  </si>
  <si>
    <t>v244</t>
  </si>
  <si>
    <t>v250</t>
  </si>
  <si>
    <t>v246</t>
  </si>
  <si>
    <t>v248</t>
  </si>
  <si>
    <t>v251</t>
  </si>
  <si>
    <t>v256</t>
  </si>
  <si>
    <t>v268</t>
  </si>
  <si>
    <t>v276</t>
  </si>
  <si>
    <t>v275</t>
  </si>
  <si>
    <t>v277</t>
  </si>
  <si>
    <t>v283</t>
  </si>
  <si>
    <t>v282</t>
  </si>
  <si>
    <t>v287</t>
  </si>
  <si>
    <t>v295</t>
  </si>
  <si>
    <t>v288</t>
  </si>
  <si>
    <t>v294</t>
  </si>
  <si>
    <t>v298</t>
  </si>
  <si>
    <t>v318</t>
  </si>
  <si>
    <t>v299</t>
  </si>
  <si>
    <t>v302</t>
  </si>
  <si>
    <t>v309</t>
  </si>
  <si>
    <t>v307</t>
  </si>
  <si>
    <t>v308</t>
  </si>
  <si>
    <t>v314</t>
  </si>
  <si>
    <t>v316</t>
  </si>
  <si>
    <t>v321</t>
  </si>
  <si>
    <t>v324</t>
  </si>
  <si>
    <t>v326</t>
  </si>
  <si>
    <t>v331</t>
  </si>
  <si>
    <t>e4</t>
  </si>
  <si>
    <t>e7</t>
  </si>
  <si>
    <t>e10</t>
  </si>
  <si>
    <t>e12</t>
  </si>
  <si>
    <t>e13</t>
  </si>
  <si>
    <t>e23</t>
  </si>
  <si>
    <t>e29</t>
  </si>
  <si>
    <t>e30</t>
  </si>
  <si>
    <t>e36</t>
  </si>
  <si>
    <t>e40</t>
  </si>
  <si>
    <t>e47</t>
  </si>
  <si>
    <t>e78</t>
  </si>
  <si>
    <t>e79</t>
  </si>
  <si>
    <t>e89</t>
  </si>
  <si>
    <t>e90</t>
  </si>
  <si>
    <t>e91</t>
  </si>
  <si>
    <t>e94</t>
  </si>
  <si>
    <t>e118</t>
  </si>
  <si>
    <t>e122</t>
  </si>
  <si>
    <t>e125</t>
  </si>
  <si>
    <t>e133</t>
  </si>
  <si>
    <t>e140</t>
  </si>
  <si>
    <t>e142</t>
  </si>
  <si>
    <t>e146</t>
  </si>
  <si>
    <t>e147</t>
  </si>
  <si>
    <t>e149</t>
  </si>
  <si>
    <t>e151</t>
  </si>
  <si>
    <t>e152</t>
  </si>
  <si>
    <t>e154</t>
  </si>
  <si>
    <t>e156</t>
  </si>
  <si>
    <t>e157</t>
  </si>
  <si>
    <t>e158</t>
  </si>
  <si>
    <t>e159</t>
  </si>
  <si>
    <t>e161</t>
  </si>
  <si>
    <t>e162</t>
  </si>
  <si>
    <t>e163</t>
  </si>
  <si>
    <t>e166</t>
  </si>
  <si>
    <t>e167</t>
  </si>
  <si>
    <t>e169</t>
  </si>
  <si>
    <t>e170</t>
  </si>
  <si>
    <t>e172</t>
  </si>
  <si>
    <t>e174</t>
  </si>
  <si>
    <t>e176</t>
  </si>
  <si>
    <t>e188</t>
  </si>
  <si>
    <t>e189</t>
  </si>
  <si>
    <t>e192</t>
  </si>
  <si>
    <t>e193</t>
  </si>
  <si>
    <t>e194</t>
  </si>
  <si>
    <t>e196</t>
  </si>
  <si>
    <t>e199</t>
  </si>
  <si>
    <t>e200</t>
  </si>
  <si>
    <t>e201</t>
  </si>
  <si>
    <t>e202</t>
  </si>
  <si>
    <t>e206</t>
  </si>
  <si>
    <t>e208</t>
  </si>
  <si>
    <t>e210</t>
  </si>
  <si>
    <t>e216</t>
  </si>
  <si>
    <t>e217</t>
  </si>
  <si>
    <t>e220</t>
  </si>
  <si>
    <t>e222</t>
  </si>
  <si>
    <t>e228</t>
  </si>
  <si>
    <t>e232</t>
  </si>
  <si>
    <t>e233</t>
  </si>
  <si>
    <t>e234</t>
  </si>
  <si>
    <t>e236</t>
  </si>
  <si>
    <t>e240</t>
  </si>
  <si>
    <t>e244</t>
  </si>
  <si>
    <t>e248</t>
  </si>
  <si>
    <t>e251</t>
  </si>
  <si>
    <t>e261</t>
  </si>
  <si>
    <t>e267</t>
  </si>
  <si>
    <t>e276</t>
  </si>
  <si>
    <t>e280</t>
  </si>
  <si>
    <t>e283</t>
  </si>
  <si>
    <t>e291</t>
  </si>
  <si>
    <t>e313</t>
  </si>
  <si>
    <t>e314</t>
  </si>
  <si>
    <t>e315</t>
  </si>
  <si>
    <t>e316</t>
  </si>
  <si>
    <t>e317</t>
  </si>
  <si>
    <t>e321</t>
  </si>
  <si>
    <t>e322</t>
  </si>
  <si>
    <t>e327</t>
  </si>
  <si>
    <t>e328</t>
  </si>
  <si>
    <t>e335</t>
  </si>
  <si>
    <t>e339</t>
  </si>
  <si>
    <t>e343</t>
  </si>
  <si>
    <t>e348</t>
  </si>
  <si>
    <t>e350</t>
  </si>
  <si>
    <t>e356</t>
  </si>
  <si>
    <t>e360</t>
  </si>
  <si>
    <t>e364</t>
  </si>
  <si>
    <t>e367</t>
  </si>
  <si>
    <t>e374</t>
  </si>
  <si>
    <t>e378</t>
  </si>
  <si>
    <t>e380</t>
  </si>
  <si>
    <t>e385</t>
  </si>
  <si>
    <t>e397</t>
  </si>
  <si>
    <t>e398</t>
  </si>
  <si>
    <t>e400</t>
  </si>
  <si>
    <t>e408</t>
  </si>
  <si>
    <t>e410</t>
  </si>
  <si>
    <t>e417</t>
  </si>
  <si>
    <t>e419</t>
  </si>
  <si>
    <t>e431</t>
  </si>
  <si>
    <t>e432</t>
  </si>
  <si>
    <t>e433</t>
  </si>
  <si>
    <t>e440</t>
  </si>
  <si>
    <t>e447</t>
  </si>
  <si>
    <t>e454</t>
  </si>
  <si>
    <t>e455</t>
  </si>
  <si>
    <t>e464</t>
  </si>
  <si>
    <t>e477</t>
  </si>
  <si>
    <t>e479</t>
  </si>
  <si>
    <t>e505</t>
  </si>
  <si>
    <t>e508</t>
  </si>
  <si>
    <t>e513</t>
  </si>
  <si>
    <t>e515</t>
  </si>
  <si>
    <t>e524</t>
  </si>
  <si>
    <t>e526</t>
  </si>
  <si>
    <t>e134</t>
  </si>
  <si>
    <t>e599</t>
  </si>
  <si>
    <t>e682</t>
  </si>
  <si>
    <t>e749</t>
  </si>
  <si>
    <t>e781</t>
  </si>
  <si>
    <t>e788</t>
  </si>
  <si>
    <t>e675</t>
  </si>
  <si>
    <t>e827</t>
  </si>
  <si>
    <t>v1</t>
  </si>
  <si>
    <t>v2</t>
  </si>
  <si>
    <t>v5</t>
  </si>
  <si>
    <t>v7</t>
  </si>
  <si>
    <t>v69</t>
  </si>
  <si>
    <t>v420</t>
  </si>
  <si>
    <t>v87</t>
  </si>
  <si>
    <t>v760</t>
  </si>
  <si>
    <t>v348</t>
  </si>
  <si>
    <t>v349</t>
  </si>
  <si>
    <t>v350</t>
  </si>
  <si>
    <t>v358</t>
  </si>
  <si>
    <t>v359</t>
  </si>
  <si>
    <t>v368</t>
  </si>
  <si>
    <t>v367</t>
  </si>
  <si>
    <t>v377</t>
  </si>
  <si>
    <t>v378</t>
  </si>
  <si>
    <t>v385</t>
  </si>
  <si>
    <t>v392</t>
  </si>
  <si>
    <t>v399</t>
  </si>
  <si>
    <t>v408</t>
  </si>
  <si>
    <t>v412</t>
  </si>
  <si>
    <t>v748</t>
  </si>
  <si>
    <t>v433</t>
  </si>
  <si>
    <t>v449</t>
  </si>
  <si>
    <t>v450</t>
  </si>
  <si>
    <t>v451</t>
  </si>
  <si>
    <t>v460</t>
  </si>
  <si>
    <t>v461</t>
  </si>
  <si>
    <t>v467</t>
  </si>
  <si>
    <t>v472</t>
  </si>
  <si>
    <t>v477</t>
  </si>
  <si>
    <t>v479</t>
  </si>
  <si>
    <t>v513</t>
  </si>
  <si>
    <t>v529</t>
  </si>
  <si>
    <t>v780</t>
  </si>
  <si>
    <t>v552</t>
  </si>
  <si>
    <t>v553</t>
  </si>
  <si>
    <t>v555</t>
  </si>
  <si>
    <t>v556</t>
  </si>
  <si>
    <t>v557</t>
  </si>
  <si>
    <t>v558</t>
  </si>
  <si>
    <t>v605</t>
  </si>
  <si>
    <t>v602</t>
  </si>
  <si>
    <t>v603</t>
  </si>
  <si>
    <t>v610</t>
  </si>
  <si>
    <t>v611</t>
  </si>
  <si>
    <t>v633</t>
  </si>
  <si>
    <t>v755</t>
  </si>
  <si>
    <t>v783</t>
  </si>
  <si>
    <t>v735</t>
  </si>
  <si>
    <t>v798</t>
  </si>
  <si>
    <t>v740</t>
  </si>
  <si>
    <t>v751</t>
  </si>
  <si>
    <t>v782</t>
  </si>
  <si>
    <t>v784</t>
  </si>
  <si>
    <t>e1</t>
  </si>
  <si>
    <t>e538</t>
  </si>
  <si>
    <t>e543</t>
  </si>
  <si>
    <t>e564</t>
  </si>
  <si>
    <t>e565</t>
  </si>
  <si>
    <t>e567</t>
  </si>
  <si>
    <t>e574</t>
  </si>
  <si>
    <t>e583</t>
  </si>
  <si>
    <t>e585</t>
  </si>
  <si>
    <t>e586</t>
  </si>
  <si>
    <t>e593</t>
  </si>
  <si>
    <t>e598</t>
  </si>
  <si>
    <t>e600</t>
  </si>
  <si>
    <t>e601</t>
  </si>
  <si>
    <t>e612</t>
  </si>
  <si>
    <t>e623</t>
  </si>
  <si>
    <t>e624</t>
  </si>
  <si>
    <t>e663</t>
  </si>
  <si>
    <t>e669</t>
  </si>
  <si>
    <t>e670</t>
  </si>
  <si>
    <t>e696</t>
  </si>
  <si>
    <t>e722</t>
  </si>
  <si>
    <t>e727</t>
  </si>
  <si>
    <t>e731</t>
  </si>
  <si>
    <t>e736</t>
  </si>
  <si>
    <t>e738</t>
  </si>
  <si>
    <t>e745</t>
  </si>
  <si>
    <t>e747</t>
  </si>
  <si>
    <t>e751</t>
  </si>
  <si>
    <t>e759</t>
  </si>
  <si>
    <t>e760</t>
  </si>
  <si>
    <t>e779</t>
  </si>
  <si>
    <t>e789</t>
  </si>
  <si>
    <t>e791</t>
  </si>
  <si>
    <t>e796</t>
  </si>
  <si>
    <t>e798</t>
  </si>
  <si>
    <t>e800</t>
  </si>
  <si>
    <t>e802</t>
  </si>
  <si>
    <t>e804</t>
  </si>
  <si>
    <t>e812</t>
  </si>
  <si>
    <t>e814</t>
  </si>
  <si>
    <t>e816</t>
  </si>
  <si>
    <t>e818</t>
  </si>
  <si>
    <t>e829</t>
  </si>
  <si>
    <t>e835</t>
  </si>
  <si>
    <t>e843</t>
  </si>
  <si>
    <t>MAIN</t>
    <phoneticPr fontId="1" type="noConversion"/>
  </si>
  <si>
    <t>LOCAL</t>
    <phoneticPr fontId="1" type="noConversion"/>
  </si>
  <si>
    <t>minH</t>
    <phoneticPr fontId="1" type="noConversion"/>
  </si>
  <si>
    <t>maxH</t>
    <phoneticPr fontId="1" type="noConversion"/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</si>
  <si>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</si>
  <si>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</si>
  <si>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</si>
  <si>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</si>
  <si>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</si>
  <si>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</si>
  <si>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</si>
  <si>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</si>
  <si>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</si>
  <si>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</si>
  <si>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</si>
  <si>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</si>
  <si>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</si>
  <si>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</si>
  <si>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</si>
  <si>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</si>
  <si>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</si>
  <si>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</si>
  <si>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</si>
  <si>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</si>
  <si>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</si>
  <si>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</si>
  <si>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f24</t>
  </si>
  <si>
    <t>f25</t>
  </si>
  <si>
    <t>f26</t>
  </si>
  <si>
    <t>f27</t>
  </si>
  <si>
    <t>f28</t>
  </si>
  <si>
    <t>f29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</si>
  <si>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</si>
  <si>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</si>
  <si>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</si>
  <si>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</si>
  <si>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</si>
  <si>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</si>
  <si>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</si>
  <si>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</si>
  <si>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</si>
  <si>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</si>
  <si>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s6</t>
  </si>
  <si>
    <t>s7</t>
  </si>
  <si>
    <t>s8</t>
  </si>
  <si>
    <t>s56</t>
  </si>
  <si>
    <t>s59</t>
  </si>
  <si>
    <t>s60</t>
  </si>
  <si>
    <t>s65</t>
  </si>
  <si>
    <t>s67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</si>
  <si>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</si>
  <si>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</si>
  <si>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</si>
  <si>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</si>
  <si>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</si>
  <si>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</si>
  <si>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</si>
  <si>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</si>
  <si>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</si>
  <si>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</si>
  <si>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s92</t>
  </si>
  <si>
    <t>s103</t>
  </si>
  <si>
    <t>s104</t>
  </si>
  <si>
    <t>s105</t>
  </si>
  <si>
    <t>s106</t>
  </si>
  <si>
    <t>s107</t>
  </si>
  <si>
    <t>s108</t>
  </si>
  <si>
    <t>s109</t>
  </si>
  <si>
    <t>s115</t>
  </si>
  <si>
    <t>v3370</t>
  </si>
  <si>
    <t>v219</t>
  </si>
  <si>
    <t>v2274</t>
  </si>
  <si>
    <t>v3013</t>
  </si>
  <si>
    <t>v41</t>
  </si>
  <si>
    <t>v89</t>
  </si>
  <si>
    <t>v138</t>
  </si>
  <si>
    <t>v154</t>
  </si>
  <si>
    <t>v140</t>
  </si>
  <si>
    <t>v143</t>
  </si>
  <si>
    <t>v142</t>
  </si>
  <si>
    <t>v148</t>
  </si>
  <si>
    <t>v149</t>
  </si>
  <si>
    <t>v150</t>
  </si>
  <si>
    <t>v151</t>
  </si>
  <si>
    <t>v152</t>
  </si>
  <si>
    <t>v2359</t>
  </si>
  <si>
    <t>v3355</t>
  </si>
  <si>
    <t>v3351</t>
  </si>
  <si>
    <t>v3345</t>
  </si>
  <si>
    <t>v742</t>
  </si>
  <si>
    <t>v227</t>
  </si>
  <si>
    <t>v1756</t>
  </si>
  <si>
    <t>v278</t>
  </si>
  <si>
    <t>v2339</t>
  </si>
  <si>
    <t>v279</t>
  </si>
  <si>
    <t>v2954</t>
  </si>
  <si>
    <t>v329</t>
  </si>
  <si>
    <t>v332</t>
  </si>
  <si>
    <t>v336</t>
  </si>
  <si>
    <t>v337</t>
  </si>
  <si>
    <t>v339</t>
  </si>
  <si>
    <t>v3061</t>
  </si>
  <si>
    <t>v366</t>
  </si>
  <si>
    <t>v2952</t>
  </si>
  <si>
    <t>v2953</t>
  </si>
  <si>
    <t>v2973</t>
  </si>
  <si>
    <t>v422</t>
  </si>
  <si>
    <t>v448</t>
  </si>
  <si>
    <t>v544</t>
  </si>
  <si>
    <t>v471</t>
  </si>
  <si>
    <t>v936</t>
  </si>
  <si>
    <t>v490</t>
  </si>
  <si>
    <t>v1821</t>
  </si>
  <si>
    <t>v497</t>
  </si>
  <si>
    <t>v522</t>
  </si>
  <si>
    <t>v521</t>
  </si>
  <si>
    <t>v1639</t>
  </si>
  <si>
    <t>v528</t>
  </si>
  <si>
    <t>v2870</t>
  </si>
  <si>
    <t>v543</t>
  </si>
  <si>
    <t>v2603</t>
  </si>
  <si>
    <t>v2869</t>
  </si>
  <si>
    <t>v2419</t>
  </si>
  <si>
    <t>v2912</t>
  </si>
  <si>
    <t>v3035</t>
  </si>
  <si>
    <t>v2743</t>
  </si>
  <si>
    <t>v1630</t>
  </si>
  <si>
    <t>v2658</t>
  </si>
  <si>
    <t>v2709</t>
  </si>
  <si>
    <t>v805</t>
  </si>
  <si>
    <t>v807</t>
  </si>
  <si>
    <t>v810</t>
  </si>
  <si>
    <t>v812</t>
  </si>
  <si>
    <t>v814</t>
  </si>
  <si>
    <t>v817</t>
  </si>
  <si>
    <t>v2381</t>
  </si>
  <si>
    <t>v819</t>
  </si>
  <si>
    <t>v2622</t>
  </si>
  <si>
    <t>v826</t>
  </si>
  <si>
    <t>v828</t>
  </si>
  <si>
    <t>v830</t>
  </si>
  <si>
    <t>v832</t>
  </si>
  <si>
    <t>v835</t>
  </si>
  <si>
    <t>v840</t>
  </si>
  <si>
    <t>v839</t>
  </si>
  <si>
    <t>v841</t>
  </si>
  <si>
    <t>v860</t>
  </si>
  <si>
    <t>v862</t>
  </si>
  <si>
    <t>v868</t>
  </si>
  <si>
    <t>v2437</t>
  </si>
  <si>
    <t>v869</t>
  </si>
  <si>
    <t>v871</t>
  </si>
  <si>
    <t>v873</t>
  </si>
  <si>
    <t>v876</t>
  </si>
  <si>
    <t>v878</t>
  </si>
  <si>
    <t>v880</t>
  </si>
  <si>
    <t>v882</t>
  </si>
  <si>
    <t>v884</t>
  </si>
  <si>
    <t>v886</t>
  </si>
  <si>
    <t>v892</t>
  </si>
  <si>
    <t>v894</t>
  </si>
  <si>
    <t>v896</t>
  </si>
  <si>
    <t>v898</t>
  </si>
  <si>
    <t>v856</t>
  </si>
  <si>
    <t>v906</t>
  </si>
  <si>
    <t>v1207</t>
  </si>
  <si>
    <t>v908</t>
  </si>
  <si>
    <t>v904</t>
  </si>
  <si>
    <t>v916</t>
  </si>
  <si>
    <t>v924</t>
  </si>
  <si>
    <t>v929</t>
  </si>
  <si>
    <t>v930</t>
  </si>
  <si>
    <t>v935</t>
  </si>
  <si>
    <t>v937</t>
  </si>
  <si>
    <t>v945</t>
  </si>
  <si>
    <t>v1195</t>
  </si>
  <si>
    <t>v949</t>
  </si>
  <si>
    <t>v1192</t>
  </si>
  <si>
    <t>v950</t>
  </si>
  <si>
    <t>v953</t>
  </si>
  <si>
    <t>v954</t>
  </si>
  <si>
    <t>v956</t>
  </si>
  <si>
    <t>v2428</t>
  </si>
  <si>
    <t>v958</t>
  </si>
  <si>
    <t>v1007</t>
  </si>
  <si>
    <t>v969</t>
  </si>
  <si>
    <t>v970</t>
  </si>
  <si>
    <t>v978</t>
  </si>
  <si>
    <t>v980</t>
  </si>
  <si>
    <t>v982</t>
  </si>
  <si>
    <t>v990</t>
  </si>
  <si>
    <t>v1027</t>
  </si>
  <si>
    <t>v1008</t>
  </si>
  <si>
    <t>v1043</t>
  </si>
  <si>
    <t>v1058</t>
  </si>
  <si>
    <t>v2426</t>
  </si>
  <si>
    <t>v1061</t>
  </si>
  <si>
    <t>v1114</t>
  </si>
  <si>
    <t>v1075</t>
  </si>
  <si>
    <t>v1103</t>
  </si>
  <si>
    <t>v1115</t>
  </si>
  <si>
    <t>v1138</t>
  </si>
  <si>
    <t>v1144</t>
  </si>
  <si>
    <t>v1121</t>
  </si>
  <si>
    <t>v1140</t>
  </si>
  <si>
    <t>v1196</t>
  </si>
  <si>
    <t>v1149</t>
  </si>
  <si>
    <t>v1143</t>
  </si>
  <si>
    <t>v2424</t>
  </si>
  <si>
    <t>v1145</t>
  </si>
  <si>
    <t>v1153</t>
  </si>
  <si>
    <t>v1148</t>
  </si>
  <si>
    <t>v1151</t>
  </si>
  <si>
    <t>v1154</t>
  </si>
  <si>
    <t>v1164</t>
  </si>
  <si>
    <t>v1156</t>
  </si>
  <si>
    <t>v1607</t>
  </si>
  <si>
    <t>v1162</t>
  </si>
  <si>
    <t>v1169</t>
  </si>
  <si>
    <t>v2422</t>
  </si>
  <si>
    <t>v1165</t>
  </si>
  <si>
    <t>v1172</t>
  </si>
  <si>
    <t>v1168</t>
  </si>
  <si>
    <t>v1171</t>
  </si>
  <si>
    <t>v1176</t>
  </si>
  <si>
    <t>v1173</t>
  </si>
  <si>
    <t>v1180</t>
  </si>
  <si>
    <t>v1175</t>
  </si>
  <si>
    <t>v1178</t>
  </si>
  <si>
    <t>v1185</t>
  </si>
  <si>
    <t>v1181</t>
  </si>
  <si>
    <t>v1189</t>
  </si>
  <si>
    <t>v1184</t>
  </si>
  <si>
    <t>v1191</t>
  </si>
  <si>
    <t>v843</t>
  </si>
  <si>
    <t>v943</t>
  </si>
  <si>
    <t>v1197</t>
  </si>
  <si>
    <t>v1206</t>
  </si>
  <si>
    <t>v1400</t>
  </si>
  <si>
    <t>v1209</t>
  </si>
  <si>
    <t>v2452</t>
  </si>
  <si>
    <t>v1220</t>
  </si>
  <si>
    <t>v1245</t>
  </si>
  <si>
    <t>v1226</t>
  </si>
  <si>
    <t>v1227</t>
  </si>
  <si>
    <t>v1231</t>
  </si>
  <si>
    <t>v1274</t>
  </si>
  <si>
    <t>v1246</t>
  </si>
  <si>
    <t>v1256</t>
  </si>
  <si>
    <t>v1295</t>
  </si>
  <si>
    <t>v1275</t>
  </si>
  <si>
    <t>v2450</t>
  </si>
  <si>
    <t>v1296</t>
  </si>
  <si>
    <t>v1298</t>
  </si>
  <si>
    <t>v1361</t>
  </si>
  <si>
    <t>v1314</t>
  </si>
  <si>
    <t>v1379</t>
  </si>
  <si>
    <t>v1363</t>
  </si>
  <si>
    <t>v1392</t>
  </si>
  <si>
    <t>v1381</t>
  </si>
  <si>
    <t>v1394</t>
  </si>
  <si>
    <t>v1406</t>
  </si>
  <si>
    <t>v2448</t>
  </si>
  <si>
    <t>v1401</t>
  </si>
  <si>
    <t>v1441</t>
  </si>
  <si>
    <t>v1405</t>
  </si>
  <si>
    <t>v1438</t>
  </si>
  <si>
    <t>v1446</t>
  </si>
  <si>
    <t>v1442</t>
  </si>
  <si>
    <t>v1451</t>
  </si>
  <si>
    <t>v1445</t>
  </si>
  <si>
    <t>v1448</t>
  </si>
  <si>
    <t>v1456</t>
  </si>
  <si>
    <t>v1452</t>
  </si>
  <si>
    <t>v1470</t>
  </si>
  <si>
    <t>v1455</t>
  </si>
  <si>
    <t>v1461</t>
  </si>
  <si>
    <t>v1462</t>
  </si>
  <si>
    <t>v1550</t>
  </si>
  <si>
    <t>v1464</t>
  </si>
  <si>
    <t>v1473</t>
  </si>
  <si>
    <t>v1467</t>
  </si>
  <si>
    <t>v1471</t>
  </si>
  <si>
    <t>v1468</t>
  </si>
  <si>
    <t>v2444</t>
  </si>
  <si>
    <t>v1474</t>
  </si>
  <si>
    <t>v1476</t>
  </si>
  <si>
    <t>v1480</t>
  </si>
  <si>
    <t>v1478</t>
  </si>
  <si>
    <t>v1479</t>
  </si>
  <si>
    <t>v1484</t>
  </si>
  <si>
    <t>v1487</t>
  </si>
  <si>
    <t>v1485</t>
  </si>
  <si>
    <t>v1491</t>
  </si>
  <si>
    <t>v1489</t>
  </si>
  <si>
    <t>v1490</t>
  </si>
  <si>
    <t>v1493</t>
  </si>
  <si>
    <t>v1494</t>
  </si>
  <si>
    <t>v1496</t>
  </si>
  <si>
    <t>v1498</t>
  </si>
  <si>
    <t>v1503</t>
  </si>
  <si>
    <t>v1504</t>
  </si>
  <si>
    <t>v1538</t>
  </si>
  <si>
    <t>v1554</t>
  </si>
  <si>
    <t>v1556</t>
  </si>
  <si>
    <t>v1558</t>
  </si>
  <si>
    <t>v1562</t>
  </si>
  <si>
    <t>v1564</t>
  </si>
  <si>
    <t>v1570</t>
  </si>
  <si>
    <t>v1574</t>
  </si>
  <si>
    <t>v1581</t>
  </si>
  <si>
    <t>v1576</t>
  </si>
  <si>
    <t>v1580</t>
  </si>
  <si>
    <t>v2618</t>
  </si>
  <si>
    <t>v1582</t>
  </si>
  <si>
    <t>v1588</t>
  </si>
  <si>
    <t>v1706</t>
  </si>
  <si>
    <t>v1605</t>
  </si>
  <si>
    <t>v1613</t>
  </si>
  <si>
    <t>v1615</t>
  </si>
  <si>
    <t>v1617</t>
  </si>
  <si>
    <t>v1621</t>
  </si>
  <si>
    <t>v1625</t>
  </si>
  <si>
    <t>v1626</t>
  </si>
  <si>
    <t>v1629</t>
  </si>
  <si>
    <t>v1631</t>
  </si>
  <si>
    <t>v1641</t>
  </si>
  <si>
    <t>v1643</t>
  </si>
  <si>
    <t>v1645</t>
  </si>
  <si>
    <t>v1647</t>
  </si>
  <si>
    <t>v1649</t>
  </si>
  <si>
    <t>v1657</t>
  </si>
  <si>
    <t>v1659</t>
  </si>
  <si>
    <t>v1661</t>
  </si>
  <si>
    <t>v1663</t>
  </si>
  <si>
    <t>v1665</t>
  </si>
  <si>
    <t>v1667</t>
  </si>
  <si>
    <t>v1669</t>
  </si>
  <si>
    <t>v1672</t>
  </si>
  <si>
    <t>v1674</t>
  </si>
  <si>
    <t>v1676</t>
  </si>
  <si>
    <t>v1678</t>
  </si>
  <si>
    <t>v1680</t>
  </si>
  <si>
    <t>v1682</t>
  </si>
  <si>
    <t>v1684</t>
  </si>
  <si>
    <t>v1687</t>
  </si>
  <si>
    <t>v1689</t>
  </si>
  <si>
    <t>v1691</t>
  </si>
  <si>
    <t>v1696</t>
  </si>
  <si>
    <t>v1700</t>
  </si>
  <si>
    <t>v1702</t>
  </si>
  <si>
    <t>v1704</t>
  </si>
  <si>
    <t>v1710</t>
  </si>
  <si>
    <t>v1712</t>
  </si>
  <si>
    <t>v1714</t>
  </si>
  <si>
    <t>v1716</t>
  </si>
  <si>
    <t>v1718</t>
  </si>
  <si>
    <t>v1720</t>
  </si>
  <si>
    <t>v1724</t>
  </si>
  <si>
    <t>v1726</t>
  </si>
  <si>
    <t>v1729</t>
  </si>
  <si>
    <t>v1731</t>
  </si>
  <si>
    <t>v1733</t>
  </si>
  <si>
    <t>v1735</t>
  </si>
  <si>
    <t>v1737</t>
  </si>
  <si>
    <t>v1739</t>
  </si>
  <si>
    <t>v1797</t>
  </si>
  <si>
    <t>v1800</t>
  </si>
  <si>
    <t>v1807</t>
  </si>
  <si>
    <t>v1806</t>
  </si>
  <si>
    <t>v1819</t>
  </si>
  <si>
    <t>v1812</t>
  </si>
  <si>
    <t>v1820</t>
  </si>
  <si>
    <t>v900</t>
  </si>
  <si>
    <t>v1823</t>
  </si>
  <si>
    <t>v1827</t>
  </si>
  <si>
    <t>v1855</t>
  </si>
  <si>
    <t>v1857</t>
  </si>
  <si>
    <t>v1858</t>
  </si>
  <si>
    <t>v1868</t>
  </si>
  <si>
    <t>v1867</t>
  </si>
  <si>
    <t>v1870</t>
  </si>
  <si>
    <t>v1877</t>
  </si>
  <si>
    <t>v1876</t>
  </si>
  <si>
    <t>v1878</t>
  </si>
  <si>
    <t>v1879</t>
  </si>
  <si>
    <t>v1880</t>
  </si>
  <si>
    <t>v1881</t>
  </si>
  <si>
    <t>v1882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</si>
  <si>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</si>
  <si>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</si>
  <si>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</si>
  <si>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</si>
  <si>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</si>
  <si>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</si>
  <si>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</si>
  <si>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</si>
  <si>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v1897</t>
  </si>
  <si>
    <t>v3425</t>
  </si>
  <si>
    <t>v1898</t>
  </si>
  <si>
    <t>v1899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</si>
  <si>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</si>
  <si>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</si>
  <si>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</si>
  <si>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</si>
  <si>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</si>
  <si>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</si>
  <si>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</si>
  <si>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</si>
  <si>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</si>
  <si>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</si>
  <si>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</si>
  <si>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</si>
  <si>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</si>
  <si>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</si>
  <si>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</si>
  <si>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</si>
  <si>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</si>
  <si>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</si>
  <si>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</si>
  <si>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</si>
  <si>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</si>
  <si>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</si>
  <si>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</si>
  <si>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</si>
  <si>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v2057</t>
  </si>
  <si>
    <t>v1825</t>
  </si>
  <si>
    <t>v2061</t>
  </si>
  <si>
    <t>v2062</t>
  </si>
  <si>
    <t>v2063</t>
  </si>
  <si>
    <t>v2080</t>
  </si>
  <si>
    <t>v2082</t>
  </si>
  <si>
    <t>v2091</t>
  </si>
  <si>
    <t>v2084</t>
  </si>
  <si>
    <t>v2085</t>
  </si>
  <si>
    <t>v2086</t>
  </si>
  <si>
    <t>v2087</t>
  </si>
  <si>
    <t>v2092</t>
  </si>
  <si>
    <t>v2093</t>
  </si>
  <si>
    <t>v2113</t>
  </si>
  <si>
    <t>v2110</t>
  </si>
  <si>
    <t>v2619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</si>
  <si>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</si>
  <si>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</si>
  <si>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</si>
  <si>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</si>
  <si>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</si>
  <si>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</si>
  <si>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</si>
  <si>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</si>
  <si>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</si>
  <si>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</si>
  <si>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</si>
  <si>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</si>
  <si>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</si>
  <si>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v2260</t>
  </si>
  <si>
    <t>v2261</t>
  </si>
  <si>
    <t>v2262</t>
  </si>
  <si>
    <t>v2263</t>
  </si>
  <si>
    <t>v2265</t>
  </si>
  <si>
    <t>v2279</t>
  </si>
  <si>
    <t>v2278</t>
  </si>
  <si>
    <t>v2280</t>
  </si>
  <si>
    <t>v3367</t>
  </si>
  <si>
    <t>v2281</t>
  </si>
  <si>
    <t>v2309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</si>
  <si>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</si>
  <si>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</si>
  <si>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</si>
  <si>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</si>
  <si>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</si>
  <si>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</si>
  <si>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</si>
  <si>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</si>
  <si>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v2317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</si>
  <si>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</si>
  <si>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</si>
  <si>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</si>
  <si>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</si>
  <si>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</si>
  <si>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</si>
  <si>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</si>
  <si>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</si>
  <si>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</si>
  <si>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</si>
  <si>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v2327</t>
  </si>
  <si>
    <t>v2300</t>
  </si>
  <si>
    <t>v3018</t>
  </si>
  <si>
    <t>v2307</t>
  </si>
  <si>
    <t>v2306</t>
  </si>
  <si>
    <t>v2308</t>
  </si>
  <si>
    <t>v2310</t>
  </si>
  <si>
    <t>v2311</t>
  </si>
  <si>
    <t>v2312</t>
  </si>
  <si>
    <t>v2313</t>
  </si>
  <si>
    <t>v2314</t>
  </si>
  <si>
    <t>v2315</t>
  </si>
  <si>
    <t>v2316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</si>
  <si>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</si>
  <si>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</si>
  <si>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</si>
  <si>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</si>
  <si>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</si>
  <si>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</si>
  <si>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</si>
  <si>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</si>
  <si>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v3435</t>
  </si>
  <si>
    <t>v2326</t>
  </si>
  <si>
    <t>v2328</t>
  </si>
  <si>
    <t>v2331</t>
  </si>
  <si>
    <t>v2335</t>
  </si>
  <si>
    <t>v2338</t>
  </si>
  <si>
    <t>v2341</t>
  </si>
  <si>
    <t>v2344</t>
  </si>
  <si>
    <t>v2430</t>
  </si>
  <si>
    <t>v2595</t>
  </si>
  <si>
    <t>v1212</t>
  </si>
  <si>
    <t>v2604</t>
  </si>
  <si>
    <t>v2607</t>
  </si>
  <si>
    <t>v2611</t>
  </si>
  <si>
    <t>v2612</t>
  </si>
  <si>
    <t>v2699</t>
  </si>
  <si>
    <t>v2752</t>
  </si>
  <si>
    <t>v2753</t>
  </si>
  <si>
    <t>v2846</t>
  </si>
  <si>
    <t>v2847</t>
  </si>
  <si>
    <t>v2942</t>
  </si>
  <si>
    <t>v3001</t>
  </si>
  <si>
    <t>v3003</t>
  </si>
  <si>
    <t>v3006</t>
  </si>
  <si>
    <t>v3007</t>
  </si>
  <si>
    <t>v3010</t>
  </si>
  <si>
    <t>v3137</t>
  </si>
  <si>
    <t>v3056</t>
  </si>
  <si>
    <t>v3428</t>
  </si>
  <si>
    <t>v3433</t>
  </si>
  <si>
    <t>v3068</t>
  </si>
  <si>
    <t>v3069</t>
  </si>
  <si>
    <t>v3077</t>
  </si>
  <si>
    <t>v3092</t>
  </si>
  <si>
    <t>v3091</t>
  </si>
  <si>
    <t>v3248</t>
  </si>
  <si>
    <t>v3096</t>
  </si>
  <si>
    <t>v3097</t>
  </si>
  <si>
    <t>v3099</t>
  </si>
  <si>
    <t>v3100</t>
  </si>
  <si>
    <t>v3101</t>
  </si>
  <si>
    <t>v3102</t>
  </si>
  <si>
    <t>v3328</t>
  </si>
  <si>
    <t>v3341</t>
  </si>
  <si>
    <t>v3143</t>
  </si>
  <si>
    <t>v3144</t>
  </si>
  <si>
    <t>v3180</t>
  </si>
  <si>
    <t>v3181</t>
  </si>
  <si>
    <t>v3184</t>
  </si>
  <si>
    <t>v3183</t>
  </si>
  <si>
    <t>v3197</t>
  </si>
  <si>
    <t>v3194</t>
  </si>
  <si>
    <t>v3207</t>
  </si>
  <si>
    <t>v3212</t>
  </si>
  <si>
    <t>v3214</t>
  </si>
  <si>
    <t>v3247</t>
  </si>
  <si>
    <t>v3246</t>
  </si>
  <si>
    <t>v3251</t>
  </si>
  <si>
    <t>v3265</t>
  </si>
  <si>
    <t>v3255</t>
  </si>
  <si>
    <t>v3257</t>
  </si>
  <si>
    <t>v3358</t>
  </si>
  <si>
    <t>v3278</t>
  </si>
  <si>
    <t>v3336</t>
  </si>
  <si>
    <t>v3261</t>
  </si>
  <si>
    <t>v3348</t>
  </si>
  <si>
    <t>v3359</t>
  </si>
  <si>
    <t>v3352</t>
  </si>
  <si>
    <t>v3360</t>
  </si>
  <si>
    <t>v3391</t>
  </si>
  <si>
    <t>v3375</t>
  </si>
  <si>
    <t>v3062</t>
  </si>
  <si>
    <t>v2254</t>
  </si>
  <si>
    <t>v3008</t>
  </si>
  <si>
    <t>v3221</t>
  </si>
  <si>
    <t>v3014</t>
  </si>
  <si>
    <t>v2614</t>
  </si>
  <si>
    <t>v3216</t>
  </si>
  <si>
    <t>v3195</t>
  </si>
  <si>
    <t>v3343</t>
  </si>
  <si>
    <t>v3083</t>
  </si>
  <si>
    <t>v3421</t>
  </si>
  <si>
    <t>v338</t>
  </si>
  <si>
    <t>v2963</t>
  </si>
  <si>
    <t>v852</t>
  </si>
  <si>
    <t>v2885</t>
  </si>
  <si>
    <t>v470</t>
  </si>
  <si>
    <t>v2245</t>
  </si>
  <si>
    <t>v3037</t>
  </si>
  <si>
    <t>v502</t>
  </si>
  <si>
    <t>v2853</t>
  </si>
  <si>
    <t>v518</t>
  </si>
  <si>
    <t>v2609</t>
  </si>
  <si>
    <t>v2872</t>
  </si>
  <si>
    <t>v530</t>
  </si>
  <si>
    <t>v723</t>
  </si>
  <si>
    <t>v2417</t>
  </si>
  <si>
    <t>v2409</t>
  </si>
  <si>
    <t>v2407</t>
  </si>
  <si>
    <t>v964</t>
  </si>
  <si>
    <t>v952</t>
  </si>
  <si>
    <t>v2714</t>
  </si>
  <si>
    <t>v2726</t>
  </si>
  <si>
    <t>v1208</t>
  </si>
  <si>
    <t>v2660</t>
  </si>
  <si>
    <t>v2689</t>
  </si>
  <si>
    <t>v3023</t>
  </si>
  <si>
    <t>v961</t>
  </si>
  <si>
    <t>v973</t>
  </si>
  <si>
    <t>v976</t>
  </si>
  <si>
    <t>v800</t>
  </si>
  <si>
    <t>v1205</t>
  </si>
  <si>
    <t>v822</t>
  </si>
  <si>
    <t>v1837</t>
  </si>
  <si>
    <t>v864</t>
  </si>
  <si>
    <t>v1213</t>
  </si>
  <si>
    <t>v889</t>
  </si>
  <si>
    <t>v922</t>
  </si>
  <si>
    <t>v2936</t>
  </si>
  <si>
    <t>v932</t>
  </si>
  <si>
    <t>v1583</t>
  </si>
  <si>
    <t>v1585</t>
  </si>
  <si>
    <t>v1747</t>
  </si>
  <si>
    <t>v1589</t>
  </si>
  <si>
    <t>v1591</t>
  </si>
  <si>
    <t>v1593</t>
  </si>
  <si>
    <t>v1595</t>
  </si>
  <si>
    <t>v1597</t>
  </si>
  <si>
    <t>v1599</t>
  </si>
  <si>
    <t>v1601</t>
  </si>
  <si>
    <t>v1603</t>
  </si>
  <si>
    <t>v1609</t>
  </si>
  <si>
    <t>v1611</t>
  </si>
  <si>
    <t>v1619</t>
  </si>
  <si>
    <t>v2454</t>
  </si>
  <si>
    <t>v1519</t>
  </si>
  <si>
    <t>v2592</t>
  </si>
  <si>
    <t>v1534</t>
  </si>
  <si>
    <t>v1523</t>
  </si>
  <si>
    <t>v1230</t>
  </si>
  <si>
    <t>v1526</t>
  </si>
  <si>
    <t>v1528</t>
  </si>
  <si>
    <t>v1530</t>
  </si>
  <si>
    <t>v1532</t>
  </si>
  <si>
    <t>v1536</t>
  </si>
  <si>
    <t>v1540</t>
  </si>
  <si>
    <t>v1542</t>
  </si>
  <si>
    <t>v1544</t>
  </si>
  <si>
    <t>v1546</t>
  </si>
  <si>
    <t>v1548</t>
  </si>
  <si>
    <t>v1460</t>
  </si>
  <si>
    <t>v1552</t>
  </si>
  <si>
    <t>v1560</t>
  </si>
  <si>
    <t>v1566</t>
  </si>
  <si>
    <t>v1568</t>
  </si>
  <si>
    <t>v1516</t>
  </si>
  <si>
    <t>v1938</t>
  </si>
  <si>
    <t>v1652</t>
  </si>
  <si>
    <t>v1742</t>
  </si>
  <si>
    <t>v1759</t>
  </si>
  <si>
    <t>v3423</t>
  </si>
  <si>
    <t>v1834</t>
  </si>
  <si>
    <t>v1847</t>
  </si>
  <si>
    <t>v1854</t>
  </si>
  <si>
    <t>v2066</t>
  </si>
  <si>
    <t>v1931</t>
  </si>
  <si>
    <t>v2094</t>
  </si>
  <si>
    <t>v2136</t>
  </si>
  <si>
    <t>v2276</t>
  </si>
  <si>
    <t>v2303</t>
  </si>
  <si>
    <t>v3025</t>
  </si>
  <si>
    <t>v3364</t>
  </si>
  <si>
    <t>v3260</t>
  </si>
  <si>
    <t>v3128</t>
  </si>
  <si>
    <t>v3415</t>
  </si>
  <si>
    <t>v3340</t>
  </si>
  <si>
    <t>v3084</t>
  </si>
  <si>
    <t>v3086</t>
  </si>
  <si>
    <t>v3134</t>
  </si>
  <si>
    <t>v3295</t>
  </si>
  <si>
    <t>v3166</t>
  </si>
  <si>
    <t>v3220</t>
  </si>
  <si>
    <t>v3412</t>
  </si>
  <si>
    <t>v3242</t>
  </si>
  <si>
    <t>v3253</t>
  </si>
  <si>
    <t>v3304</t>
  </si>
  <si>
    <t>v3371</t>
  </si>
  <si>
    <t>e847</t>
  </si>
  <si>
    <t>e848</t>
  </si>
  <si>
    <t>e855</t>
  </si>
  <si>
    <t>e856</t>
  </si>
  <si>
    <t>e866</t>
  </si>
  <si>
    <t>e868</t>
  </si>
  <si>
    <t>e869</t>
  </si>
  <si>
    <t>e870</t>
  </si>
  <si>
    <t>e874</t>
  </si>
  <si>
    <t>e876</t>
  </si>
  <si>
    <t>e878</t>
  </si>
  <si>
    <t>e880</t>
  </si>
  <si>
    <t>e889</t>
  </si>
  <si>
    <t>e890</t>
  </si>
  <si>
    <t>e898</t>
  </si>
  <si>
    <t>e901</t>
  </si>
  <si>
    <t>e903</t>
  </si>
  <si>
    <t>e911</t>
  </si>
  <si>
    <t>e928</t>
  </si>
  <si>
    <t>e929</t>
  </si>
  <si>
    <t>e947</t>
  </si>
  <si>
    <t>e948</t>
  </si>
  <si>
    <t>e963</t>
  </si>
  <si>
    <t>e966</t>
  </si>
  <si>
    <t>e980</t>
  </si>
  <si>
    <t>e982</t>
  </si>
  <si>
    <t>e993</t>
  </si>
  <si>
    <t>e994</t>
  </si>
  <si>
    <t>e1000</t>
  </si>
  <si>
    <t>e1001</t>
  </si>
  <si>
    <t>e1002</t>
  </si>
  <si>
    <t>e1005</t>
  </si>
  <si>
    <t>e1008</t>
  </si>
  <si>
    <t>e1010</t>
  </si>
  <si>
    <t>e1012</t>
  </si>
  <si>
    <t>e1015</t>
  </si>
  <si>
    <t>e1016</t>
  </si>
  <si>
    <t>e1022</t>
  </si>
  <si>
    <t>e1023</t>
  </si>
  <si>
    <t>e1027</t>
  </si>
  <si>
    <t>e1032</t>
  </si>
  <si>
    <t>e1035</t>
  </si>
  <si>
    <t>e1036</t>
  </si>
  <si>
    <t>e1039</t>
  </si>
  <si>
    <t>e1040</t>
  </si>
  <si>
    <t>e1043</t>
  </si>
  <si>
    <t>e1045</t>
  </si>
  <si>
    <t>e1047</t>
  </si>
  <si>
    <t>e1048</t>
  </si>
  <si>
    <t>e1051</t>
  </si>
  <si>
    <t>e1055</t>
  </si>
  <si>
    <t>e1058</t>
  </si>
  <si>
    <t>e1059</t>
  </si>
  <si>
    <t>e1062</t>
  </si>
  <si>
    <t>e1065</t>
  </si>
  <si>
    <t>e1070</t>
  </si>
  <si>
    <t>e1072</t>
  </si>
  <si>
    <t>e1080</t>
  </si>
  <si>
    <t>e1084</t>
  </si>
  <si>
    <t>e1094</t>
  </si>
  <si>
    <t>e1100</t>
  </si>
  <si>
    <t>e1102</t>
  </si>
  <si>
    <t>e1107</t>
  </si>
  <si>
    <t>e1122</t>
  </si>
  <si>
    <t>e1124</t>
  </si>
  <si>
    <t>e1126</t>
  </si>
  <si>
    <t>e1144</t>
  </si>
  <si>
    <t>e1145</t>
  </si>
  <si>
    <t>e1166</t>
  </si>
  <si>
    <t>e1168</t>
  </si>
  <si>
    <t>e1170</t>
  </si>
  <si>
    <t>e1186</t>
  </si>
  <si>
    <t>e1187</t>
  </si>
  <si>
    <t>e1190</t>
  </si>
  <si>
    <t>e1208</t>
  </si>
  <si>
    <t>e1221</t>
  </si>
  <si>
    <t>e1227</t>
  </si>
  <si>
    <t>e1228</t>
  </si>
  <si>
    <t>e1232</t>
  </si>
  <si>
    <t>e1233</t>
  </si>
  <si>
    <t>e1237</t>
  </si>
  <si>
    <t>e1240</t>
  </si>
  <si>
    <t>e1241</t>
  </si>
  <si>
    <t>e1244</t>
  </si>
  <si>
    <t>e1245</t>
  </si>
  <si>
    <t>e1248</t>
  </si>
  <si>
    <t>e1252</t>
  </si>
  <si>
    <t>e1255</t>
  </si>
  <si>
    <t>e1256</t>
  </si>
  <si>
    <t>e1262</t>
  </si>
  <si>
    <t>e1263</t>
  </si>
  <si>
    <t>e1265</t>
  </si>
  <si>
    <t>e1267</t>
  </si>
  <si>
    <t>e1270</t>
  </si>
  <si>
    <t>e1271</t>
  </si>
  <si>
    <t>e1274</t>
  </si>
  <si>
    <t>e1275</t>
  </si>
  <si>
    <t>e1277</t>
  </si>
  <si>
    <t>e1279</t>
  </si>
  <si>
    <t>e1282</t>
  </si>
  <si>
    <t>e1284</t>
  </si>
  <si>
    <t>e1290</t>
  </si>
  <si>
    <t>e1291</t>
  </si>
  <si>
    <t>e1294</t>
  </si>
  <si>
    <t>e1296</t>
  </si>
  <si>
    <t>e1299</t>
  </si>
  <si>
    <t>e1301</t>
  </si>
  <si>
    <t>e1303</t>
  </si>
  <si>
    <t>e1307</t>
  </si>
  <si>
    <t>e1312</t>
  </si>
  <si>
    <t>e1352</t>
  </si>
  <si>
    <t>e1375</t>
  </si>
  <si>
    <t>e1377</t>
  </si>
  <si>
    <t>e1379</t>
  </si>
  <si>
    <t>e1380</t>
  </si>
  <si>
    <t>e1385</t>
  </si>
  <si>
    <t>e1386</t>
  </si>
  <si>
    <t>e1388</t>
  </si>
  <si>
    <t>e1397</t>
  </si>
  <si>
    <t>e1402</t>
  </si>
  <si>
    <t>e1404</t>
  </si>
  <si>
    <t>e1408</t>
  </si>
  <si>
    <t>e1409</t>
  </si>
  <si>
    <t>e1410</t>
  </si>
  <si>
    <t>e1419</t>
  </si>
  <si>
    <t>e1443</t>
  </si>
  <si>
    <t>e1453</t>
  </si>
  <si>
    <t>e1454</t>
  </si>
  <si>
    <t>e1456</t>
  </si>
  <si>
    <t>e1459</t>
  </si>
  <si>
    <t>e1464</t>
  </si>
  <si>
    <t>e1466</t>
  </si>
  <si>
    <t>e1467</t>
  </si>
  <si>
    <t>e1471</t>
  </si>
  <si>
    <t>e1472</t>
  </si>
  <si>
    <t>e1473</t>
  </si>
  <si>
    <t>e1484</t>
  </si>
  <si>
    <t>e1487</t>
  </si>
  <si>
    <t>e1490</t>
  </si>
  <si>
    <t>e1493</t>
  </si>
  <si>
    <t>e1496</t>
  </si>
  <si>
    <t>e1507</t>
  </si>
  <si>
    <t>e1510</t>
  </si>
  <si>
    <t>e1513</t>
  </si>
  <si>
    <t>e1516</t>
  </si>
  <si>
    <t>e1519</t>
  </si>
  <si>
    <t>e1522</t>
  </si>
  <si>
    <t>e1529</t>
  </si>
  <si>
    <t>e1532</t>
  </si>
  <si>
    <t>e1535</t>
  </si>
  <si>
    <t>e1538</t>
  </si>
  <si>
    <t>e1541</t>
  </si>
  <si>
    <t>e1544</t>
  </si>
  <si>
    <t>e1551</t>
  </si>
  <si>
    <t>e1554</t>
  </si>
  <si>
    <t>e1563</t>
  </si>
  <si>
    <t>e1571</t>
  </si>
  <si>
    <t>e1573</t>
  </si>
  <si>
    <t>e1583</t>
  </si>
  <si>
    <t>e1589</t>
  </si>
  <si>
    <t>e1592</t>
  </si>
  <si>
    <t>e1595</t>
  </si>
  <si>
    <t>e1602</t>
  </si>
  <si>
    <t>e1609</t>
  </si>
  <si>
    <t>e1612</t>
  </si>
  <si>
    <t>e1615</t>
  </si>
  <si>
    <t>e1621</t>
  </si>
  <si>
    <t>e1639</t>
  </si>
  <si>
    <t>e1641</t>
  </si>
  <si>
    <t>e1659</t>
  </si>
  <si>
    <t>e1665</t>
  </si>
  <si>
    <t>e1672</t>
  </si>
  <si>
    <t>e1679</t>
  </si>
  <si>
    <t>e1680</t>
  </si>
  <si>
    <t>e1681</t>
  </si>
  <si>
    <t>e1682</t>
  </si>
  <si>
    <t>e1684</t>
  </si>
  <si>
    <t>e1689</t>
  </si>
  <si>
    <t>e1718</t>
  </si>
  <si>
    <t>e1730</t>
  </si>
  <si>
    <t>e1733</t>
  </si>
  <si>
    <t>e1741</t>
  </si>
  <si>
    <t>e1743</t>
  </si>
  <si>
    <t>e1745</t>
  </si>
  <si>
    <t>e1746</t>
  </si>
  <si>
    <t>e1747</t>
  </si>
  <si>
    <t>e1748</t>
  </si>
  <si>
    <t>e1753</t>
  </si>
  <si>
    <t>e1755</t>
  </si>
  <si>
    <t>e1756</t>
  </si>
  <si>
    <t>e1758</t>
  </si>
  <si>
    <t>e1759</t>
  </si>
  <si>
    <t>e1761</t>
  </si>
  <si>
    <t>e1762</t>
  </si>
  <si>
    <t>e1767</t>
  </si>
  <si>
    <t>e1768</t>
  </si>
  <si>
    <t>e1769</t>
  </si>
  <si>
    <t>e1771</t>
  </si>
  <si>
    <t>e1772</t>
  </si>
  <si>
    <t>e1774</t>
  </si>
  <si>
    <t>e1775</t>
  </si>
  <si>
    <t>e1777</t>
  </si>
  <si>
    <t>e1778</t>
  </si>
  <si>
    <t>e1779</t>
  </si>
  <si>
    <t>e1781</t>
  </si>
  <si>
    <t>e1783</t>
  </si>
  <si>
    <t>e1785</t>
  </si>
  <si>
    <t>e1787</t>
  </si>
  <si>
    <t>e1788</t>
  </si>
  <si>
    <t>e1790</t>
  </si>
  <si>
    <t>e1792</t>
  </si>
  <si>
    <t>e1796</t>
  </si>
  <si>
    <t>e1798</t>
  </si>
  <si>
    <t>e1799</t>
  </si>
  <si>
    <t>e1801</t>
  </si>
  <si>
    <t>e1803</t>
  </si>
  <si>
    <t>e1805</t>
  </si>
  <si>
    <t>e1807</t>
  </si>
  <si>
    <t>e1809</t>
  </si>
  <si>
    <t>e1811</t>
  </si>
  <si>
    <t>e1945</t>
  </si>
  <si>
    <t>e1950</t>
  </si>
  <si>
    <t>e1951</t>
  </si>
  <si>
    <t>e1970</t>
  </si>
  <si>
    <t>e1974</t>
  </si>
  <si>
    <t>e1977</t>
  </si>
  <si>
    <t>e1978</t>
  </si>
  <si>
    <t>e1979</t>
  </si>
  <si>
    <t>e1981</t>
  </si>
  <si>
    <t>e1983</t>
  </si>
  <si>
    <t>e1987</t>
  </si>
  <si>
    <t>e1988</t>
  </si>
  <si>
    <t>e1989</t>
  </si>
  <si>
    <t>e1990</t>
  </si>
  <si>
    <t>e2005</t>
  </si>
  <si>
    <t>e2008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</si>
  <si>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</si>
  <si>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</si>
  <si>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</si>
  <si>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</si>
  <si>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</si>
  <si>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</si>
  <si>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</si>
  <si>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</si>
  <si>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</si>
  <si>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e2021</t>
  </si>
  <si>
    <t>e2022</t>
  </si>
  <si>
    <t>e2023</t>
  </si>
  <si>
    <t>e2024</t>
  </si>
  <si>
    <t>e2143</t>
  </si>
  <si>
    <t>e2145</t>
  </si>
  <si>
    <t>e2147</t>
  </si>
  <si>
    <t>e2148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</si>
  <si>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</si>
  <si>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</si>
  <si>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</si>
  <si>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</si>
  <si>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</si>
  <si>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</si>
  <si>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</si>
  <si>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</si>
  <si>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</si>
  <si>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</si>
  <si>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</si>
  <si>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</si>
  <si>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</si>
  <si>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</si>
  <si>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</si>
  <si>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</si>
  <si>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</si>
  <si>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</si>
  <si>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</si>
  <si>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</si>
  <si>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</si>
  <si>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</si>
  <si>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</si>
  <si>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</si>
  <si>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</si>
  <si>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</si>
  <si>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</si>
  <si>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</si>
  <si>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</si>
  <si>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</si>
  <si>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</si>
  <si>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</si>
  <si>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</si>
  <si>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</si>
  <si>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</si>
  <si>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</si>
  <si>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</si>
  <si>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</si>
  <si>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</si>
  <si>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</si>
  <si>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</si>
  <si>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</si>
  <si>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</si>
  <si>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</si>
  <si>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</si>
  <si>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</si>
  <si>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</si>
  <si>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</si>
  <si>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</si>
  <si>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</si>
  <si>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</si>
  <si>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</si>
  <si>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</si>
  <si>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</si>
  <si>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</si>
  <si>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</si>
  <si>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</si>
  <si>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</si>
  <si>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</si>
  <si>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</si>
  <si>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</si>
  <si>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</si>
  <si>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</si>
  <si>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</si>
  <si>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</si>
  <si>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</si>
  <si>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</si>
  <si>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e2233</t>
  </si>
  <si>
    <t>e2238</t>
  </si>
  <si>
    <t>e2242</t>
  </si>
  <si>
    <t>e2244</t>
  </si>
  <si>
    <t>e2248</t>
  </si>
  <si>
    <t>e2249</t>
  </si>
  <si>
    <t>e2267</t>
  </si>
  <si>
    <t>e2290</t>
  </si>
  <si>
    <t>e2294</t>
  </si>
  <si>
    <t>e2296</t>
  </si>
  <si>
    <t>e2298</t>
  </si>
  <si>
    <t>e2300</t>
  </si>
  <si>
    <t>e2302</t>
  </si>
  <si>
    <t>e2306</t>
  </si>
  <si>
    <t>e2310</t>
  </si>
  <si>
    <t>e2313</t>
  </si>
  <si>
    <t>e2315</t>
  </si>
  <si>
    <t>e2317</t>
  </si>
  <si>
    <t>e2392</t>
  </si>
  <si>
    <t>e2399</t>
  </si>
  <si>
    <t>e2401</t>
  </si>
  <si>
    <t>e2406</t>
  </si>
  <si>
    <t>e2408</t>
  </si>
  <si>
    <t>e2415</t>
  </si>
  <si>
    <t>e2470</t>
  </si>
  <si>
    <t>e2473</t>
  </si>
  <si>
    <t>e2508</t>
  </si>
  <si>
    <t>e2545</t>
  </si>
  <si>
    <t>e2559</t>
  </si>
  <si>
    <t>e2560</t>
  </si>
  <si>
    <t>e2607</t>
  </si>
  <si>
    <t>e2612</t>
  </si>
  <si>
    <t>e2613</t>
  </si>
  <si>
    <t>e2646</t>
  </si>
  <si>
    <t>e2650</t>
  </si>
  <si>
    <t>e2653</t>
  </si>
  <si>
    <t>e2654</t>
  </si>
  <si>
    <t>e2658</t>
  </si>
  <si>
    <t>e2661</t>
  </si>
  <si>
    <t>e2680</t>
  </si>
  <si>
    <t>e2688</t>
  </si>
  <si>
    <t>e2689</t>
  </si>
  <si>
    <t>e2694</t>
  </si>
  <si>
    <t>e2703</t>
  </si>
  <si>
    <t>e2713</t>
  </si>
  <si>
    <t>e2728</t>
  </si>
  <si>
    <t>e2729</t>
  </si>
  <si>
    <t>e2733</t>
  </si>
  <si>
    <t>e2736</t>
  </si>
  <si>
    <t>e2737</t>
  </si>
  <si>
    <t>e2738</t>
  </si>
  <si>
    <t>e2739</t>
  </si>
  <si>
    <t>e2741</t>
  </si>
  <si>
    <t>e2778</t>
  </si>
  <si>
    <t>e2783</t>
  </si>
  <si>
    <t>e2819</t>
  </si>
  <si>
    <t>e2821</t>
  </si>
  <si>
    <t>e2823</t>
  </si>
  <si>
    <t>e2839</t>
  </si>
  <si>
    <t>e2849</t>
  </si>
  <si>
    <t>e2850</t>
  </si>
  <si>
    <t>e2855</t>
  </si>
  <si>
    <t>e2892</t>
  </si>
  <si>
    <t>e2894</t>
  </si>
  <si>
    <t>e2898</t>
  </si>
  <si>
    <t>e2901</t>
  </si>
  <si>
    <t>e2903</t>
  </si>
  <si>
    <t>e2912</t>
  </si>
  <si>
    <t>e2920</t>
  </si>
  <si>
    <t>e2972</t>
  </si>
  <si>
    <t>e2981</t>
  </si>
  <si>
    <t>e2989</t>
  </si>
  <si>
    <t>e2992</t>
  </si>
  <si>
    <t>e2995</t>
  </si>
  <si>
    <t>e2997</t>
  </si>
  <si>
    <t>e3000</t>
  </si>
  <si>
    <t>e3004</t>
  </si>
  <si>
    <t>e3007</t>
  </si>
  <si>
    <t>e3014</t>
  </si>
  <si>
    <t>e3018</t>
  </si>
  <si>
    <t>e3040</t>
  </si>
  <si>
    <t>e3075</t>
  </si>
  <si>
    <t>e3084</t>
  </si>
  <si>
    <t>e3086</t>
  </si>
  <si>
    <t>e3087</t>
  </si>
  <si>
    <t>ne1</t>
  </si>
  <si>
    <t>ne2</t>
  </si>
  <si>
    <t>ne3</t>
  </si>
  <si>
    <t>ne4</t>
  </si>
  <si>
    <t>ne5</t>
  </si>
  <si>
    <t>ne6</t>
  </si>
  <si>
    <t>ne7</t>
  </si>
  <si>
    <t>ne8</t>
  </si>
  <si>
    <t>ne9</t>
  </si>
  <si>
    <t>ne10</t>
  </si>
  <si>
    <t>ne11</t>
  </si>
  <si>
    <t>ne12</t>
  </si>
  <si>
    <t>ne13</t>
  </si>
  <si>
    <t>ne14</t>
  </si>
  <si>
    <t>ne15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</si>
  <si>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</si>
  <si>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</si>
  <si>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</si>
  <si>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</si>
  <si>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</si>
  <si>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</si>
  <si>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</si>
  <si>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</si>
  <si>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</si>
  <si>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</si>
  <si>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</si>
  <si>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</si>
  <si>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</si>
  <si>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</si>
  <si>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</si>
  <si>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</si>
  <si>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</si>
  <si>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ne33</t>
  </si>
  <si>
    <t>ne34</t>
  </si>
  <si>
    <t>ne35</t>
  </si>
  <si>
    <t>ne36</t>
  </si>
  <si>
    <t>ne37</t>
  </si>
  <si>
    <t>ne38</t>
  </si>
  <si>
    <t>ne39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</si>
  <si>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</si>
  <si>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</si>
  <si>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</si>
  <si>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</si>
  <si>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</si>
  <si>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</si>
  <si>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</si>
  <si>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</si>
  <si>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</si>
  <si>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</si>
  <si>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ne50</t>
  </si>
  <si>
    <t>ne51</t>
  </si>
  <si>
    <t>ne52</t>
  </si>
  <si>
    <t>ne53</t>
  </si>
  <si>
    <t>ne54</t>
  </si>
  <si>
    <t>ne55</t>
  </si>
  <si>
    <t>ne56</t>
  </si>
  <si>
    <t>ne57</t>
  </si>
  <si>
    <t>ne58</t>
  </si>
  <si>
    <t>ne59</t>
  </si>
  <si>
    <t>ne60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</si>
  <si>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</si>
  <si>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</si>
  <si>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</si>
  <si>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</si>
  <si>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</si>
  <si>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</si>
  <si>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</si>
  <si>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</si>
  <si>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</si>
  <si>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ne70</t>
  </si>
  <si>
    <t>ne71</t>
  </si>
  <si>
    <t>ne72</t>
  </si>
  <si>
    <t>ne73</t>
  </si>
  <si>
    <t>ne74</t>
  </si>
  <si>
    <t>ne75</t>
  </si>
  <si>
    <t>ne76</t>
  </si>
  <si>
    <t>ne77</t>
  </si>
  <si>
    <t>ne78</t>
  </si>
  <si>
    <t>ne79</t>
  </si>
  <si>
    <t>ne80</t>
  </si>
  <si>
    <t>ne81</t>
  </si>
  <si>
    <t>ne82</t>
  </si>
  <si>
    <t>ne83</t>
  </si>
  <si>
    <t>ne84</t>
  </si>
  <si>
    <t>ne85</t>
  </si>
  <si>
    <t>ne86</t>
  </si>
  <si>
    <t>ne87</t>
  </si>
  <si>
    <t>ne88</t>
  </si>
  <si>
    <t>ne89</t>
  </si>
  <si>
    <t>ne90</t>
  </si>
  <si>
    <t>ne91</t>
  </si>
  <si>
    <t>ne92</t>
  </si>
  <si>
    <t>ne93</t>
  </si>
  <si>
    <t>ne94</t>
  </si>
  <si>
    <t>ne95</t>
  </si>
  <si>
    <t>ne96</t>
  </si>
  <si>
    <t>ne97</t>
  </si>
  <si>
    <t>ne98</t>
  </si>
  <si>
    <t>ne99</t>
  </si>
  <si>
    <t>ne100</t>
  </si>
  <si>
    <t>ne101</t>
  </si>
  <si>
    <t>ne102</t>
  </si>
  <si>
    <t>ne103</t>
  </si>
  <si>
    <t>ne104</t>
  </si>
  <si>
    <t>ne105</t>
  </si>
  <si>
    <t>ne106</t>
  </si>
  <si>
    <t>ne107</t>
  </si>
  <si>
    <t>ne108</t>
  </si>
  <si>
    <t>ne109</t>
  </si>
  <si>
    <t>ne110</t>
  </si>
  <si>
    <t>ne111</t>
  </si>
  <si>
    <t>ne112</t>
  </si>
  <si>
    <t>ne113</t>
  </si>
  <si>
    <t>ne114</t>
  </si>
  <si>
    <t>ne115</t>
  </si>
  <si>
    <t>ne116</t>
  </si>
  <si>
    <t>ne117</t>
  </si>
  <si>
    <t>ne118</t>
  </si>
  <si>
    <t>ne119</t>
  </si>
  <si>
    <t>ne120</t>
  </si>
  <si>
    <t>ne121</t>
  </si>
  <si>
    <t>ne122</t>
  </si>
  <si>
    <t>ne123</t>
  </si>
  <si>
    <t>ne124</t>
  </si>
  <si>
    <t>ne125</t>
  </si>
  <si>
    <t>ne126</t>
  </si>
  <si>
    <t>ne127</t>
  </si>
  <si>
    <t>ne128</t>
  </si>
  <si>
    <t>ne129</t>
  </si>
  <si>
    <t>ne130</t>
  </si>
  <si>
    <t>ne131</t>
  </si>
  <si>
    <t>ne132</t>
  </si>
  <si>
    <t>ne133</t>
  </si>
  <si>
    <t>ne134</t>
  </si>
  <si>
    <t>ne135</t>
  </si>
  <si>
    <t>ne136</t>
  </si>
  <si>
    <t>ne137</t>
  </si>
  <si>
    <t>ne138</t>
  </si>
  <si>
    <t>ne139</t>
  </si>
  <si>
    <t>ne140</t>
  </si>
  <si>
    <t>ne141</t>
  </si>
  <si>
    <t>ne142</t>
  </si>
  <si>
    <t>ne143</t>
  </si>
  <si>
    <t>ne144</t>
  </si>
  <si>
    <t>ne145</t>
  </si>
  <si>
    <t>ne146</t>
  </si>
  <si>
    <t>ne147</t>
  </si>
  <si>
    <t>ne148</t>
  </si>
  <si>
    <t>ne149</t>
  </si>
  <si>
    <t>ne150</t>
  </si>
  <si>
    <t>ne151</t>
  </si>
  <si>
    <t>ne152</t>
  </si>
  <si>
    <t>ne153</t>
  </si>
  <si>
    <t>ne154</t>
  </si>
  <si>
    <t>ne155</t>
  </si>
  <si>
    <t>ne156</t>
  </si>
  <si>
    <t>ne157</t>
  </si>
  <si>
    <t>ne158</t>
  </si>
  <si>
    <t>ne159</t>
  </si>
  <si>
    <t>ne160</t>
  </si>
  <si>
    <t>ne161</t>
  </si>
  <si>
    <t>ne162</t>
  </si>
  <si>
    <t>ne163</t>
  </si>
  <si>
    <t>ne164</t>
  </si>
  <si>
    <t>ne165</t>
  </si>
  <si>
    <t>ne166</t>
  </si>
  <si>
    <t>ne167</t>
  </si>
  <si>
    <t>ne168</t>
  </si>
  <si>
    <t>ne169</t>
  </si>
  <si>
    <t>ne170</t>
  </si>
  <si>
    <t>ne171</t>
  </si>
  <si>
    <t>ne172</t>
  </si>
  <si>
    <t>ne173</t>
  </si>
  <si>
    <t>ne174</t>
  </si>
  <si>
    <t>ne175</t>
  </si>
  <si>
    <t>ne176</t>
  </si>
  <si>
    <t>ne177</t>
  </si>
  <si>
    <t>ne178</t>
  </si>
  <si>
    <t>ne179</t>
  </si>
  <si>
    <t>ne180</t>
  </si>
  <si>
    <t>ne181</t>
  </si>
  <si>
    <t>ne182</t>
  </si>
  <si>
    <t>ne183</t>
  </si>
  <si>
    <t>ne184</t>
  </si>
  <si>
    <t>ne185</t>
  </si>
  <si>
    <t>ne186</t>
  </si>
  <si>
    <t>ne187</t>
  </si>
  <si>
    <t>ne188</t>
  </si>
  <si>
    <t>ne189</t>
  </si>
  <si>
    <t>ne190</t>
  </si>
  <si>
    <t>ne191</t>
  </si>
  <si>
    <t>ne192</t>
  </si>
  <si>
    <t>ne193</t>
  </si>
  <si>
    <t>ne194</t>
  </si>
  <si>
    <t>ne195</t>
  </si>
  <si>
    <t>ne196</t>
  </si>
  <si>
    <t>ne197</t>
  </si>
  <si>
    <t>ne198</t>
  </si>
  <si>
    <t>ne199</t>
  </si>
  <si>
    <t>ne200</t>
  </si>
  <si>
    <t>ne201</t>
  </si>
  <si>
    <t>ne202</t>
  </si>
  <si>
    <t>ne203</t>
  </si>
  <si>
    <t>ne204</t>
  </si>
  <si>
    <t>ne205</t>
  </si>
  <si>
    <t>ne206</t>
  </si>
  <si>
    <t>ne207</t>
  </si>
  <si>
    <t>ne208</t>
  </si>
  <si>
    <t>ne209</t>
  </si>
  <si>
    <t>ne210</t>
  </si>
  <si>
    <t>ne211</t>
  </si>
  <si>
    <t>ne212</t>
  </si>
  <si>
    <t>ne213</t>
  </si>
  <si>
    <t>ne214</t>
  </si>
  <si>
    <t>ne215</t>
  </si>
  <si>
    <t>ne216</t>
  </si>
  <si>
    <t>ne217</t>
  </si>
  <si>
    <t>ne218</t>
  </si>
  <si>
    <t>ne219</t>
  </si>
  <si>
    <t>ne220</t>
  </si>
  <si>
    <t>ne221</t>
  </si>
  <si>
    <t>ne222</t>
  </si>
  <si>
    <t>ne223</t>
  </si>
  <si>
    <t>ne224</t>
  </si>
  <si>
    <t>ne225</t>
  </si>
  <si>
    <t>ne226</t>
  </si>
  <si>
    <t>ne227</t>
  </si>
  <si>
    <t>ne228</t>
  </si>
  <si>
    <t>ne229</t>
  </si>
  <si>
    <t>ne230</t>
  </si>
  <si>
    <t>ne231</t>
  </si>
  <si>
    <t>ne232</t>
  </si>
  <si>
    <t>ne233</t>
  </si>
  <si>
    <t>ne234</t>
  </si>
  <si>
    <t>ne235</t>
  </si>
  <si>
    <t>ne236</t>
  </si>
  <si>
    <t>ne237</t>
  </si>
  <si>
    <t>ne238</t>
  </si>
  <si>
    <t>ne239</t>
  </si>
  <si>
    <t>ne240</t>
  </si>
  <si>
    <t>ne241</t>
  </si>
  <si>
    <t>ne242</t>
  </si>
  <si>
    <t>ne243</t>
  </si>
  <si>
    <t>ne244</t>
  </si>
  <si>
    <t>ne245</t>
  </si>
  <si>
    <t>ne246</t>
  </si>
  <si>
    <t>ne247</t>
  </si>
  <si>
    <t>ne248</t>
  </si>
  <si>
    <t>ne249</t>
  </si>
  <si>
    <t>ne250</t>
  </si>
  <si>
    <t>ne251</t>
  </si>
  <si>
    <t>ne252</t>
  </si>
  <si>
    <t>ne253</t>
  </si>
  <si>
    <t>ne254</t>
  </si>
  <si>
    <t>ne255</t>
  </si>
  <si>
    <t>ne256</t>
  </si>
  <si>
    <t>ne257</t>
  </si>
  <si>
    <t>ne258</t>
  </si>
  <si>
    <t>ne259</t>
  </si>
  <si>
    <t>ne260</t>
  </si>
  <si>
    <t>ne261</t>
  </si>
  <si>
    <t>ne262</t>
  </si>
  <si>
    <t>ne263</t>
  </si>
  <si>
    <t>ne264</t>
  </si>
  <si>
    <t>ne265</t>
  </si>
  <si>
    <t>ne266</t>
  </si>
  <si>
    <t>ne267</t>
  </si>
  <si>
    <t>ne268</t>
  </si>
  <si>
    <t>ne269</t>
  </si>
  <si>
    <t>ne270</t>
  </si>
  <si>
    <t>ne271</t>
  </si>
  <si>
    <t>ne272</t>
  </si>
  <si>
    <t>ne273</t>
  </si>
  <si>
    <t>ne274</t>
  </si>
  <si>
    <t>ne275</t>
  </si>
  <si>
    <t>ne276</t>
  </si>
  <si>
    <t>ne277</t>
  </si>
  <si>
    <t>ne278</t>
  </si>
  <si>
    <t>ne279</t>
  </si>
  <si>
    <t>ne280</t>
  </si>
  <si>
    <t>ne281</t>
  </si>
  <si>
    <t>ne282</t>
  </si>
  <si>
    <t>ne283</t>
  </si>
  <si>
    <t>ne284</t>
  </si>
  <si>
    <t>ne285</t>
  </si>
  <si>
    <t>ne286</t>
  </si>
  <si>
    <t>ne287</t>
  </si>
  <si>
    <t>ne288</t>
  </si>
  <si>
    <t>ne289</t>
  </si>
  <si>
    <t>ne290</t>
  </si>
  <si>
    <t>ne291</t>
  </si>
  <si>
    <t>ne292</t>
  </si>
  <si>
    <t>ne293</t>
  </si>
  <si>
    <t>ne294</t>
  </si>
  <si>
    <t>ne295</t>
  </si>
  <si>
    <t>ne296</t>
  </si>
  <si>
    <t>ne297</t>
  </si>
  <si>
    <t>ne298</t>
  </si>
  <si>
    <t>ne299</t>
  </si>
  <si>
    <t>ne300</t>
  </si>
  <si>
    <t>ne301</t>
  </si>
  <si>
    <t>ne302</t>
  </si>
  <si>
    <t>ne303</t>
  </si>
  <si>
    <t>ne304</t>
  </si>
  <si>
    <t>ne305</t>
  </si>
  <si>
    <t>ne306</t>
  </si>
  <si>
    <t>ne307</t>
  </si>
  <si>
    <t>ne308</t>
  </si>
  <si>
    <t>ne309</t>
  </si>
  <si>
    <t>ne310</t>
  </si>
  <si>
    <t>ne311</t>
  </si>
  <si>
    <t>ne312</t>
  </si>
  <si>
    <t>ne313</t>
  </si>
  <si>
    <t>ne314</t>
  </si>
  <si>
    <t>ne315</t>
  </si>
  <si>
    <t>ne316</t>
  </si>
  <si>
    <t>ne317</t>
  </si>
  <si>
    <t>ne318</t>
  </si>
  <si>
    <t>ne319</t>
  </si>
  <si>
    <t>ne320</t>
  </si>
  <si>
    <t>ne321</t>
  </si>
  <si>
    <t>ne322</t>
  </si>
  <si>
    <t>ne323</t>
  </si>
  <si>
    <t>ne324</t>
  </si>
  <si>
    <t>ne325</t>
  </si>
  <si>
    <t>ne326</t>
  </si>
  <si>
    <t>ne327</t>
  </si>
  <si>
    <t>ne328</t>
  </si>
  <si>
    <t>ne329</t>
  </si>
  <si>
    <t>ne330</t>
  </si>
  <si>
    <t>ne331</t>
  </si>
  <si>
    <t>ne332</t>
  </si>
  <si>
    <t>ne333</t>
  </si>
  <si>
    <t>ne334</t>
  </si>
  <si>
    <t>ne335</t>
  </si>
  <si>
    <t>ne336</t>
  </si>
  <si>
    <t>ne337</t>
  </si>
  <si>
    <t>ne338</t>
  </si>
  <si>
    <t>ne339</t>
  </si>
  <si>
    <t>ne340</t>
  </si>
  <si>
    <t>ne341</t>
  </si>
  <si>
    <t>ne342</t>
  </si>
  <si>
    <t>ne343</t>
  </si>
  <si>
    <t>ne344</t>
  </si>
  <si>
    <t>ne345</t>
  </si>
  <si>
    <t>ne346</t>
  </si>
  <si>
    <t>ne347</t>
  </si>
  <si>
    <t>ne348</t>
  </si>
  <si>
    <t>ne349</t>
  </si>
  <si>
    <t>ne350</t>
  </si>
  <si>
    <t>ne351</t>
  </si>
  <si>
    <t>ne352</t>
  </si>
  <si>
    <t>ne353</t>
  </si>
  <si>
    <t>ne354</t>
  </si>
  <si>
    <t>ne355</t>
  </si>
  <si>
    <t>ne356</t>
  </si>
  <si>
    <t>ne357</t>
  </si>
  <si>
    <t>ne358</t>
  </si>
  <si>
    <t>ne359</t>
  </si>
  <si>
    <t>ne360</t>
  </si>
  <si>
    <t>ne361</t>
  </si>
  <si>
    <t>ne362</t>
  </si>
  <si>
    <t>ne363</t>
  </si>
  <si>
    <t>ne364</t>
  </si>
  <si>
    <t>ne365</t>
  </si>
  <si>
    <t>ne366</t>
  </si>
  <si>
    <t>ne367</t>
  </si>
  <si>
    <t>ne368</t>
  </si>
  <si>
    <t>ne369</t>
  </si>
  <si>
    <t>ne370</t>
  </si>
  <si>
    <t>ne371</t>
  </si>
  <si>
    <t>ne372</t>
  </si>
  <si>
    <t>ne373</t>
  </si>
  <si>
    <t>ne374</t>
  </si>
  <si>
    <t>ne375</t>
  </si>
  <si>
    <t>ne376</t>
  </si>
  <si>
    <t>ne377</t>
  </si>
  <si>
    <t>ne378</t>
  </si>
  <si>
    <t>ne379</t>
  </si>
  <si>
    <t>ne380</t>
  </si>
  <si>
    <t>ne381</t>
  </si>
  <si>
    <t>ne382</t>
  </si>
  <si>
    <t>ne383</t>
  </si>
  <si>
    <t>ne384</t>
  </si>
  <si>
    <t>ne385</t>
  </si>
  <si>
    <t>ne386</t>
  </si>
  <si>
    <t>ne387</t>
  </si>
  <si>
    <t>ne388</t>
  </si>
  <si>
    <t>ne389</t>
  </si>
  <si>
    <t>ne390</t>
  </si>
  <si>
    <t>ne391</t>
  </si>
  <si>
    <t>ne392</t>
  </si>
  <si>
    <t>ne393</t>
  </si>
  <si>
    <t>ne394</t>
  </si>
  <si>
    <t>ne395</t>
  </si>
  <si>
    <t>ne396</t>
  </si>
  <si>
    <t>ne397</t>
  </si>
  <si>
    <t>ne398</t>
  </si>
  <si>
    <t>ne399</t>
  </si>
  <si>
    <t>ne400</t>
  </si>
  <si>
    <t>ne401</t>
  </si>
  <si>
    <t>ne402</t>
  </si>
  <si>
    <t>ne403</t>
  </si>
  <si>
    <t>ne404</t>
  </si>
  <si>
    <t>ne405</t>
  </si>
  <si>
    <t>ne406</t>
  </si>
  <si>
    <t>ne407</t>
  </si>
  <si>
    <t>ne408</t>
  </si>
  <si>
    <t>ne409</t>
  </si>
  <si>
    <t>ne410</t>
  </si>
  <si>
    <t>ne411</t>
  </si>
  <si>
    <t>ne412</t>
  </si>
  <si>
    <t>ne413</t>
  </si>
  <si>
    <t>ne414</t>
  </si>
  <si>
    <t>ne415</t>
  </si>
  <si>
    <t>ne416</t>
  </si>
  <si>
    <t>ne417</t>
  </si>
  <si>
    <t>ne418</t>
  </si>
  <si>
    <t>ne419</t>
  </si>
  <si>
    <t>ne420</t>
  </si>
  <si>
    <t>ne421</t>
  </si>
  <si>
    <t>ne422</t>
  </si>
  <si>
    <t>ne423</t>
  </si>
  <si>
    <t>ne424</t>
  </si>
  <si>
    <t>ne425</t>
  </si>
  <si>
    <t>ne426</t>
  </si>
  <si>
    <t>ne427</t>
  </si>
  <si>
    <t>ne428</t>
  </si>
  <si>
    <t>ne429</t>
  </si>
  <si>
    <t>ne430</t>
  </si>
  <si>
    <t>ne431</t>
  </si>
  <si>
    <t>ne432</t>
  </si>
  <si>
    <t>ne433</t>
  </si>
  <si>
    <t>ne434</t>
  </si>
  <si>
    <t>ne435</t>
  </si>
  <si>
    <t>ne436</t>
  </si>
  <si>
    <t>ne437</t>
  </si>
  <si>
    <t>ne438</t>
  </si>
  <si>
    <t>ne439</t>
  </si>
  <si>
    <t>ne440</t>
  </si>
  <si>
    <t>ne441</t>
  </si>
  <si>
    <t>ne442</t>
  </si>
  <si>
    <t>ne443</t>
  </si>
  <si>
    <t>ne444</t>
  </si>
  <si>
    <t>ne445</t>
  </si>
  <si>
    <t>ne446</t>
  </si>
  <si>
    <t>ne447</t>
  </si>
  <si>
    <t>ne448</t>
  </si>
  <si>
    <t>ne449</t>
  </si>
  <si>
    <t>ne450</t>
  </si>
  <si>
    <t>ne451</t>
  </si>
  <si>
    <t>ne452</t>
  </si>
  <si>
    <t>ne453</t>
  </si>
  <si>
    <t>ne454</t>
  </si>
  <si>
    <t>ne455</t>
  </si>
  <si>
    <t>ne456</t>
  </si>
  <si>
    <t>ne457</t>
  </si>
  <si>
    <t>ne458</t>
  </si>
  <si>
    <t>ne459</t>
  </si>
  <si>
    <t>ne460</t>
  </si>
  <si>
    <t>ne461</t>
  </si>
  <si>
    <t>ne462</t>
  </si>
  <si>
    <t>ne463</t>
  </si>
  <si>
    <t>ne464</t>
  </si>
  <si>
    <t>ne465</t>
  </si>
  <si>
    <t>ne466</t>
  </si>
  <si>
    <t>ne467</t>
  </si>
  <si>
    <t>ne468</t>
  </si>
  <si>
    <t>ne469</t>
  </si>
  <si>
    <t>ne470</t>
  </si>
  <si>
    <t>ne471</t>
  </si>
  <si>
    <t>ne472</t>
  </si>
  <si>
    <t>ne473</t>
  </si>
  <si>
    <t>ne474</t>
  </si>
  <si>
    <t>ne475</t>
  </si>
  <si>
    <t>ne476</t>
  </si>
  <si>
    <t>ne477</t>
  </si>
  <si>
    <t>ne478</t>
  </si>
  <si>
    <t>ne479</t>
  </si>
  <si>
    <t>ne480</t>
  </si>
  <si>
    <t>ne481</t>
  </si>
  <si>
    <t>ne482</t>
  </si>
  <si>
    <t>ne483</t>
  </si>
  <si>
    <t>ne484</t>
  </si>
  <si>
    <t>ne485</t>
  </si>
  <si>
    <t>ne486</t>
  </si>
  <si>
    <t>ne487</t>
  </si>
  <si>
    <t>ne488</t>
  </si>
  <si>
    <t>ne489</t>
  </si>
  <si>
    <t>ne490</t>
  </si>
  <si>
    <t>ne491</t>
  </si>
  <si>
    <t>ne492</t>
  </si>
  <si>
    <t>ne493</t>
  </si>
  <si>
    <t>ne494</t>
  </si>
  <si>
    <t>ne495</t>
  </si>
  <si>
    <t>ne496</t>
  </si>
  <si>
    <t>ne497</t>
  </si>
  <si>
    <t>ne498</t>
  </si>
  <si>
    <t>ne499</t>
  </si>
  <si>
    <t>ne500</t>
  </si>
  <si>
    <t>ne501</t>
  </si>
  <si>
    <t>ne502</t>
  </si>
  <si>
    <t>ne503</t>
  </si>
  <si>
    <t>ne504</t>
  </si>
  <si>
    <t>ne505</t>
  </si>
  <si>
    <t>ne506</t>
  </si>
  <si>
    <t>ne507</t>
  </si>
  <si>
    <t>ne508</t>
  </si>
  <si>
    <t>ne509</t>
  </si>
  <si>
    <t>ne510</t>
  </si>
  <si>
    <t>ne511</t>
  </si>
  <si>
    <t>ne512</t>
  </si>
  <si>
    <t>ne513</t>
  </si>
  <si>
    <t>ne514</t>
  </si>
  <si>
    <t>ne515</t>
  </si>
  <si>
    <t>ne516</t>
  </si>
  <si>
    <t>ne517</t>
  </si>
  <si>
    <t>ne518</t>
  </si>
  <si>
    <t>ne519</t>
  </si>
  <si>
    <t>ne520</t>
  </si>
  <si>
    <t>ne521</t>
  </si>
  <si>
    <t>ne522</t>
  </si>
  <si>
    <t>ne523</t>
  </si>
  <si>
    <t>ne524</t>
  </si>
  <si>
    <t>ne525</t>
  </si>
  <si>
    <t>ne526</t>
  </si>
  <si>
    <t>ne527</t>
  </si>
  <si>
    <t>ne528</t>
  </si>
  <si>
    <t>ne529</t>
  </si>
  <si>
    <t>ne530</t>
  </si>
  <si>
    <t>ne531</t>
  </si>
  <si>
    <t>ne532</t>
  </si>
  <si>
    <t>ne533</t>
  </si>
  <si>
    <t>ne534</t>
  </si>
  <si>
    <t>ne535</t>
  </si>
  <si>
    <t>ne536</t>
  </si>
  <si>
    <t>ne537</t>
  </si>
  <si>
    <t>ne538</t>
  </si>
  <si>
    <t>ne539</t>
  </si>
  <si>
    <t>ne540</t>
  </si>
  <si>
    <t>ne541</t>
  </si>
  <si>
    <t>ne542</t>
  </si>
  <si>
    <t>ne543</t>
  </si>
  <si>
    <t>ne544</t>
  </si>
  <si>
    <t>ne545</t>
  </si>
  <si>
    <t>ne546</t>
  </si>
  <si>
    <t>ne547</t>
  </si>
  <si>
    <t>ne548</t>
  </si>
  <si>
    <t>ne549</t>
  </si>
  <si>
    <t>ne550</t>
  </si>
  <si>
    <t>ne551</t>
  </si>
  <si>
    <t>ne552</t>
  </si>
  <si>
    <t>ne553</t>
  </si>
  <si>
    <t>ne554</t>
  </si>
  <si>
    <t>ne555</t>
  </si>
  <si>
    <t>ne556</t>
  </si>
  <si>
    <t>ne557</t>
  </si>
  <si>
    <t>ne558</t>
  </si>
  <si>
    <t>ne559</t>
  </si>
  <si>
    <t>ne560</t>
  </si>
  <si>
    <t>ne561</t>
  </si>
  <si>
    <t>ne562</t>
  </si>
  <si>
    <t>ne563</t>
  </si>
  <si>
    <t>ne564</t>
  </si>
  <si>
    <t>ne565</t>
  </si>
  <si>
    <t>ne566</t>
  </si>
  <si>
    <t>ne567</t>
  </si>
  <si>
    <t>ne568</t>
  </si>
  <si>
    <t>ne569</t>
  </si>
  <si>
    <t>ne570</t>
  </si>
  <si>
    <t>ne571</t>
  </si>
  <si>
    <t>ne572</t>
  </si>
  <si>
    <t>ne573</t>
  </si>
  <si>
    <t>ne574</t>
  </si>
  <si>
    <t>ne575</t>
  </si>
  <si>
    <t>ne576</t>
  </si>
  <si>
    <t>ne577</t>
  </si>
  <si>
    <t>ne578</t>
  </si>
  <si>
    <t>ne579</t>
  </si>
  <si>
    <t>ne580</t>
  </si>
  <si>
    <t>ne581</t>
  </si>
  <si>
    <t>ne582</t>
  </si>
  <si>
    <t>ne583</t>
  </si>
  <si>
    <t>ne584</t>
  </si>
  <si>
    <t>ne585</t>
  </si>
  <si>
    <t>ne586</t>
  </si>
  <si>
    <t>ne587</t>
  </si>
  <si>
    <t>ne588</t>
  </si>
  <si>
    <t>ne589</t>
  </si>
  <si>
    <t>ne590</t>
  </si>
  <si>
    <t>ne591</t>
  </si>
  <si>
    <r>
      <t>554</t>
    </r>
    <r>
      <rPr>
        <sz val="11"/>
        <color indexed="10"/>
        <rFont val="宋体"/>
        <family val="3"/>
        <charset val="134"/>
      </rPr>
      <t>派班硐室进风井</t>
    </r>
    <phoneticPr fontId="2" type="noConversion"/>
  </si>
  <si>
    <t>bz</t>
    <phoneticPr fontId="2" type="noConversion"/>
  </si>
  <si>
    <t>v75</t>
    <phoneticPr fontId="1" type="noConversion"/>
  </si>
  <si>
    <t>v856</t>
    <phoneticPr fontId="1" type="noConversion"/>
  </si>
  <si>
    <t>e223</t>
    <phoneticPr fontId="1" type="noConversion"/>
  </si>
  <si>
    <t>v82</t>
    <phoneticPr fontId="1" type="noConversion"/>
  </si>
  <si>
    <t>v1191</t>
    <phoneticPr fontId="1" type="noConversion"/>
  </si>
  <si>
    <t>e429</t>
    <phoneticPr fontId="1" type="noConversion"/>
  </si>
  <si>
    <t>v81</t>
    <phoneticPr fontId="1" type="noConversion"/>
  </si>
  <si>
    <t>v839</t>
    <phoneticPr fontId="1" type="noConversion"/>
  </si>
  <si>
    <t>e353</t>
    <phoneticPr fontId="1" type="noConversion"/>
  </si>
  <si>
    <t>v49</t>
    <phoneticPr fontId="1" type="noConversion"/>
  </si>
  <si>
    <r>
      <t>447</t>
    </r>
    <r>
      <rPr>
        <sz val="12"/>
        <color indexed="17"/>
        <rFont val="宋体"/>
        <family val="3"/>
        <charset val="134"/>
      </rPr>
      <t>采空区</t>
    </r>
  </si>
  <si>
    <r>
      <t>464</t>
    </r>
    <r>
      <rPr>
        <sz val="12"/>
        <color indexed="17"/>
        <rFont val="宋体"/>
        <family val="3"/>
        <charset val="134"/>
      </rPr>
      <t>采空区</t>
    </r>
  </si>
  <si>
    <r>
      <rPr>
        <sz val="12"/>
        <color indexed="30"/>
        <rFont val="宋体"/>
        <family val="3"/>
        <charset val="134"/>
      </rPr>
      <t>皮带斜井</t>
    </r>
  </si>
  <si>
    <r>
      <t>690</t>
    </r>
    <r>
      <rPr>
        <sz val="12"/>
        <color indexed="17"/>
        <rFont val="宋体"/>
        <family val="3"/>
        <charset val="134"/>
      </rPr>
      <t>采空区</t>
    </r>
  </si>
  <si>
    <r>
      <t>1#</t>
    </r>
    <r>
      <rPr>
        <sz val="12"/>
        <color indexed="30"/>
        <rFont val="宋体"/>
        <family val="3"/>
        <charset val="134"/>
      </rPr>
      <t>副井</t>
    </r>
  </si>
  <si>
    <r>
      <t>690</t>
    </r>
    <r>
      <rPr>
        <sz val="12"/>
        <color indexed="30"/>
        <rFont val="宋体"/>
        <family val="3"/>
        <charset val="134"/>
      </rPr>
      <t>平硐</t>
    </r>
  </si>
  <si>
    <r>
      <t>870</t>
    </r>
    <r>
      <rPr>
        <sz val="12"/>
        <color indexed="17"/>
        <rFont val="宋体"/>
        <family val="3"/>
        <charset val="134"/>
      </rPr>
      <t>残矿</t>
    </r>
  </si>
  <si>
    <r>
      <t>530 4#</t>
    </r>
    <r>
      <rPr>
        <sz val="12"/>
        <color indexed="17"/>
        <rFont val="宋体"/>
        <family val="3"/>
        <charset val="134"/>
      </rPr>
      <t>顶盘</t>
    </r>
  </si>
  <si>
    <r>
      <t>434 5#</t>
    </r>
    <r>
      <rPr>
        <sz val="12"/>
        <color indexed="17"/>
        <rFont val="宋体"/>
        <family val="3"/>
        <charset val="134"/>
      </rPr>
      <t>总回</t>
    </r>
  </si>
  <si>
    <r>
      <t>434 4#</t>
    </r>
    <r>
      <rPr>
        <sz val="12"/>
        <color indexed="17"/>
        <rFont val="宋体"/>
        <family val="3"/>
        <charset val="134"/>
      </rPr>
      <t>下盘</t>
    </r>
  </si>
  <si>
    <r>
      <t>434 4#</t>
    </r>
    <r>
      <rPr>
        <sz val="12"/>
        <color indexed="17"/>
        <rFont val="宋体"/>
        <family val="3"/>
        <charset val="134"/>
      </rPr>
      <t>总回</t>
    </r>
  </si>
  <si>
    <r>
      <rPr>
        <sz val="12"/>
        <color indexed="17"/>
        <rFont val="宋体"/>
        <family val="3"/>
        <charset val="134"/>
      </rPr>
      <t>箕斗井</t>
    </r>
  </si>
  <si>
    <r>
      <t>4#</t>
    </r>
    <r>
      <rPr>
        <sz val="12"/>
        <color indexed="30"/>
        <rFont val="宋体"/>
        <family val="3"/>
        <charset val="134"/>
      </rPr>
      <t>回风井</t>
    </r>
  </si>
  <si>
    <r>
      <t>554</t>
    </r>
    <r>
      <rPr>
        <sz val="12"/>
        <color indexed="30"/>
        <rFont val="宋体"/>
        <family val="3"/>
        <charset val="134"/>
      </rPr>
      <t>采空区</t>
    </r>
  </si>
  <si>
    <r>
      <t>464</t>
    </r>
    <r>
      <rPr>
        <sz val="12"/>
        <color indexed="30"/>
        <rFont val="宋体"/>
        <family val="3"/>
        <charset val="134"/>
      </rPr>
      <t>采空区</t>
    </r>
  </si>
  <si>
    <r>
      <t>3#</t>
    </r>
    <r>
      <rPr>
        <sz val="12"/>
        <color indexed="17"/>
        <rFont val="宋体"/>
        <family val="3"/>
        <charset val="134"/>
      </rPr>
      <t>溜井</t>
    </r>
  </si>
  <si>
    <r>
      <t>583</t>
    </r>
    <r>
      <rPr>
        <sz val="12"/>
        <color indexed="17"/>
        <rFont val="宋体"/>
        <family val="3"/>
        <charset val="134"/>
      </rPr>
      <t>残矿</t>
    </r>
  </si>
  <si>
    <r>
      <t>554</t>
    </r>
    <r>
      <rPr>
        <sz val="12"/>
        <color indexed="30"/>
        <rFont val="宋体"/>
        <family val="3"/>
        <charset val="134"/>
      </rPr>
      <t>残矿</t>
    </r>
  </si>
  <si>
    <r>
      <rPr>
        <sz val="12"/>
        <color indexed="30"/>
        <rFont val="宋体"/>
        <family val="3"/>
        <charset val="134"/>
      </rPr>
      <t>残矿斜坡道</t>
    </r>
  </si>
  <si>
    <r>
      <t>6#</t>
    </r>
    <r>
      <rPr>
        <sz val="12"/>
        <color indexed="17"/>
        <rFont val="宋体"/>
        <family val="3"/>
        <charset val="134"/>
      </rPr>
      <t>溜井</t>
    </r>
  </si>
  <si>
    <r>
      <rPr>
        <sz val="12"/>
        <rFont val="宋体"/>
        <family val="3"/>
        <charset val="134"/>
      </rPr>
      <t>备注</t>
    </r>
    <phoneticPr fontId="1" type="noConversion"/>
  </si>
  <si>
    <r>
      <rPr>
        <sz val="12"/>
        <rFont val="宋体"/>
        <family val="3"/>
        <charset val="134"/>
      </rPr>
      <t>序号</t>
    </r>
    <phoneticPr fontId="1" type="noConversion"/>
  </si>
  <si>
    <r>
      <rPr>
        <sz val="12"/>
        <color indexed="30"/>
        <rFont val="宋体"/>
        <family val="3"/>
        <charset val="134"/>
      </rPr>
      <t>主斜坡道</t>
    </r>
    <phoneticPr fontId="6" type="noConversion"/>
  </si>
  <si>
    <r>
      <t>564</t>
    </r>
    <r>
      <rPr>
        <sz val="12"/>
        <color indexed="30"/>
        <rFont val="宋体"/>
        <family val="3"/>
        <charset val="134"/>
      </rPr>
      <t>残矿</t>
    </r>
    <phoneticPr fontId="6" type="noConversion"/>
  </si>
  <si>
    <r>
      <t>8#</t>
    </r>
    <r>
      <rPr>
        <sz val="12"/>
        <color indexed="30"/>
        <rFont val="宋体"/>
        <family val="3"/>
        <charset val="134"/>
      </rPr>
      <t>回风井</t>
    </r>
    <phoneticPr fontId="6" type="noConversion"/>
  </si>
  <si>
    <r>
      <t>6#</t>
    </r>
    <r>
      <rPr>
        <sz val="12"/>
        <color indexed="17"/>
        <rFont val="宋体"/>
        <family val="3"/>
        <charset val="134"/>
      </rPr>
      <t>进风井</t>
    </r>
    <phoneticPr fontId="6" type="noConversion"/>
  </si>
  <si>
    <r>
      <t>7#</t>
    </r>
    <r>
      <rPr>
        <sz val="12"/>
        <color indexed="17"/>
        <rFont val="宋体"/>
        <family val="3"/>
        <charset val="134"/>
      </rPr>
      <t>进风井</t>
    </r>
    <phoneticPr fontId="6" type="noConversion"/>
  </si>
  <si>
    <t xml:space="preserve"> </t>
    <phoneticPr fontId="1" type="noConversion"/>
  </si>
  <si>
    <r>
      <rPr>
        <sz val="12"/>
        <color indexed="36"/>
        <rFont val="宋体"/>
        <family val="3"/>
        <charset val="134"/>
      </rPr>
      <t>进风小井风窗</t>
    </r>
  </si>
  <si>
    <r>
      <t>4#-8#</t>
    </r>
    <r>
      <rPr>
        <sz val="12"/>
        <color indexed="36"/>
        <rFont val="宋体"/>
        <family val="3"/>
        <charset val="134"/>
      </rPr>
      <t>回风道联络道</t>
    </r>
  </si>
  <si>
    <r>
      <t>464 4#</t>
    </r>
    <r>
      <rPr>
        <sz val="12"/>
        <color indexed="36"/>
        <rFont val="宋体"/>
        <family val="3"/>
        <charset val="134"/>
      </rPr>
      <t>挡风板</t>
    </r>
  </si>
  <si>
    <r>
      <rPr>
        <sz val="12"/>
        <color indexed="36"/>
        <rFont val="宋体"/>
        <family val="3"/>
        <charset val="134"/>
      </rPr>
      <t>人行梯子井风墙</t>
    </r>
  </si>
  <si>
    <r>
      <rPr>
        <sz val="12"/>
        <color indexed="36"/>
        <rFont val="宋体"/>
        <family val="3"/>
        <charset val="134"/>
      </rPr>
      <t>副层斜坡道</t>
    </r>
    <r>
      <rPr>
        <sz val="12"/>
        <color indexed="36"/>
        <rFont val="Times New Roman"/>
        <family val="1"/>
      </rPr>
      <t>-410</t>
    </r>
    <r>
      <rPr>
        <sz val="12"/>
        <color indexed="36"/>
        <rFont val="宋体"/>
        <family val="3"/>
        <charset val="134"/>
      </rPr>
      <t>进风措施井</t>
    </r>
  </si>
  <si>
    <r>
      <t>434</t>
    </r>
    <r>
      <rPr>
        <sz val="12"/>
        <color indexed="36"/>
        <rFont val="宋体"/>
        <family val="3"/>
        <charset val="134"/>
      </rPr>
      <t>中部管缆井风墙</t>
    </r>
  </si>
  <si>
    <r>
      <t>21#</t>
    </r>
    <r>
      <rPr>
        <sz val="12"/>
        <color indexed="36"/>
        <rFont val="宋体"/>
        <family val="3"/>
        <charset val="134"/>
      </rPr>
      <t>联络道风门</t>
    </r>
  </si>
  <si>
    <r>
      <t>690-</t>
    </r>
    <r>
      <rPr>
        <sz val="12"/>
        <color indexed="36"/>
        <rFont val="宋体"/>
        <family val="3"/>
        <charset val="134"/>
      </rPr>
      <t>回风井</t>
    </r>
  </si>
  <si>
    <r>
      <t>542-530</t>
    </r>
    <r>
      <rPr>
        <sz val="12"/>
        <color indexed="36"/>
        <rFont val="宋体"/>
        <family val="3"/>
        <charset val="134"/>
      </rPr>
      <t>小井</t>
    </r>
  </si>
  <si>
    <r>
      <t>410</t>
    </r>
    <r>
      <rPr>
        <sz val="12"/>
        <color indexed="36"/>
        <rFont val="宋体"/>
        <family val="3"/>
        <charset val="134"/>
      </rPr>
      <t>混合井开</t>
    </r>
  </si>
  <si>
    <r>
      <t>6#</t>
    </r>
    <r>
      <rPr>
        <sz val="12"/>
        <color indexed="36"/>
        <rFont val="宋体"/>
        <family val="3"/>
        <charset val="134"/>
      </rPr>
      <t>进风井</t>
    </r>
    <r>
      <rPr>
        <sz val="12"/>
        <color indexed="36"/>
        <rFont val="Times New Roman"/>
        <family val="1"/>
      </rPr>
      <t>530</t>
    </r>
    <r>
      <rPr>
        <sz val="12"/>
        <color indexed="36"/>
        <rFont val="宋体"/>
        <family val="3"/>
        <charset val="134"/>
      </rPr>
      <t>风窗</t>
    </r>
  </si>
  <si>
    <r>
      <t>434 5#</t>
    </r>
    <r>
      <rPr>
        <sz val="12"/>
        <color indexed="36"/>
        <rFont val="宋体"/>
        <family val="3"/>
        <charset val="134"/>
      </rPr>
      <t>矿体东部回风</t>
    </r>
  </si>
  <si>
    <r>
      <t>447 4#</t>
    </r>
    <r>
      <rPr>
        <sz val="12"/>
        <color indexed="36"/>
        <rFont val="宋体"/>
        <family val="3"/>
        <charset val="134"/>
      </rPr>
      <t>塌陷</t>
    </r>
  </si>
  <si>
    <r>
      <t>410</t>
    </r>
    <r>
      <rPr>
        <sz val="12"/>
        <color indexed="36"/>
        <rFont val="宋体"/>
        <family val="3"/>
        <charset val="134"/>
      </rPr>
      <t>进风措施井</t>
    </r>
  </si>
  <si>
    <r>
      <t>530</t>
    </r>
    <r>
      <rPr>
        <sz val="12"/>
        <color indexed="36"/>
        <rFont val="宋体"/>
        <family val="3"/>
        <charset val="134"/>
      </rPr>
      <t>运输道风墙</t>
    </r>
  </si>
  <si>
    <r>
      <rPr>
        <sz val="12"/>
        <color indexed="36"/>
        <rFont val="宋体"/>
        <family val="3"/>
        <charset val="134"/>
      </rPr>
      <t>塌陷</t>
    </r>
  </si>
  <si>
    <r>
      <t>442</t>
    </r>
    <r>
      <rPr>
        <sz val="12"/>
        <color indexed="36"/>
        <rFont val="宋体"/>
        <family val="3"/>
        <charset val="134"/>
      </rPr>
      <t>回风小井</t>
    </r>
  </si>
  <si>
    <r>
      <t>410 5#</t>
    </r>
    <r>
      <rPr>
        <sz val="12"/>
        <color indexed="36"/>
        <rFont val="宋体"/>
        <family val="3"/>
        <charset val="134"/>
      </rPr>
      <t>下盘回风</t>
    </r>
  </si>
  <si>
    <r>
      <t>419-434</t>
    </r>
    <r>
      <rPr>
        <sz val="12"/>
        <color indexed="36"/>
        <rFont val="宋体"/>
        <family val="3"/>
        <charset val="134"/>
      </rPr>
      <t>进风小井风窗</t>
    </r>
  </si>
  <si>
    <r>
      <t xml:space="preserve">410 </t>
    </r>
    <r>
      <rPr>
        <sz val="12"/>
        <color indexed="36"/>
        <rFont val="宋体"/>
        <family val="3"/>
        <charset val="134"/>
      </rPr>
      <t>打开</t>
    </r>
  </si>
  <si>
    <r>
      <t>810-</t>
    </r>
    <r>
      <rPr>
        <sz val="12"/>
        <color indexed="36"/>
        <rFont val="宋体"/>
        <family val="3"/>
        <charset val="134"/>
      </rPr>
      <t>大竖井</t>
    </r>
  </si>
  <si>
    <r>
      <t>810-4#</t>
    </r>
    <r>
      <rPr>
        <sz val="12"/>
        <color indexed="36"/>
        <rFont val="宋体"/>
        <family val="3"/>
        <charset val="134"/>
      </rPr>
      <t>回风井</t>
    </r>
  </si>
  <si>
    <r>
      <t>690-</t>
    </r>
    <r>
      <rPr>
        <sz val="12"/>
        <color indexed="36"/>
        <rFont val="宋体"/>
        <family val="3"/>
        <charset val="134"/>
      </rPr>
      <t>残矿风窗</t>
    </r>
  </si>
  <si>
    <r>
      <t>554</t>
    </r>
    <r>
      <rPr>
        <sz val="12"/>
        <color indexed="10"/>
        <rFont val="宋体"/>
        <family val="3"/>
        <charset val="134"/>
      </rPr>
      <t>派班硐室进风井</t>
    </r>
  </si>
  <si>
    <r>
      <t>870</t>
    </r>
    <r>
      <rPr>
        <sz val="12"/>
        <color indexed="30"/>
        <rFont val="宋体"/>
        <family val="3"/>
        <charset val="134"/>
      </rPr>
      <t>平硐</t>
    </r>
    <r>
      <rPr>
        <sz val="12"/>
        <color indexed="30"/>
        <rFont val="Times New Roman"/>
        <family val="1"/>
      </rPr>
      <t>(</t>
    </r>
    <r>
      <rPr>
        <sz val="12"/>
        <color indexed="30"/>
        <rFont val="宋体"/>
        <family val="3"/>
        <charset val="134"/>
      </rPr>
      <t>风门</t>
    </r>
    <r>
      <rPr>
        <sz val="12"/>
        <color indexed="30"/>
        <rFont val="Times New Roman"/>
        <family val="1"/>
      </rPr>
      <t>)</t>
    </r>
    <phoneticPr fontId="1" type="noConversion"/>
  </si>
  <si>
    <t>进风小井风窗(封）</t>
    <phoneticPr fontId="1" type="noConversion"/>
  </si>
  <si>
    <t>fixed1</t>
    <phoneticPr fontId="1" type="noConversion"/>
  </si>
  <si>
    <t>h0</t>
    <phoneticPr fontId="1" type="noConversion"/>
  </si>
  <si>
    <t>r0</t>
    <phoneticPr fontId="1" type="noConversion"/>
  </si>
  <si>
    <t>原数据</t>
    <phoneticPr fontId="2" type="noConversion"/>
  </si>
  <si>
    <t>ns1</t>
    <phoneticPr fontId="2" type="noConversion"/>
  </si>
  <si>
    <t>ns2</t>
    <phoneticPr fontId="2" type="noConversion"/>
  </si>
  <si>
    <t>ns3</t>
  </si>
  <si>
    <t>ns4</t>
  </si>
  <si>
    <t>ns5</t>
  </si>
  <si>
    <t>ns6</t>
  </si>
  <si>
    <t>ns7</t>
  </si>
  <si>
    <t>ns8</t>
  </si>
  <si>
    <t>ns10</t>
  </si>
  <si>
    <t>ns11</t>
  </si>
  <si>
    <t>ns12</t>
  </si>
  <si>
    <t>ns13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</si>
</sst>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_);[Red]\(0.00\)"/>
    <numFmt numFmtId="178" formatCode="0.0000000_);[Red]\(0.0000000\)"/>
    <numFmt numFmtId="179" formatCode="0.00000000_);[Red]\(0.00000000\)"/>
    <numFmt numFmtId="180" formatCode="0.000000000_);[Red]\(0.000000000\)"/>
  </numFmts>
  <fonts count="26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Times New Roman"/>
      <family val="1"/>
    </font>
    <font>
      <sz val="12"/>
      <name val="Times New Roman"/>
      <family val="1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30"/>
      <name val="宋体"/>
      <family val="3"/>
      <charset val="134"/>
    </font>
    <font>
      <sz val="12"/>
      <name val="宋体"/>
      <family val="3"/>
      <charset val="134"/>
    </font>
    <font>
      <i/>
      <sz val="12"/>
      <name val="Times New Roman"/>
      <family val="1"/>
    </font>
    <font>
      <sz val="12"/>
      <color indexed="30"/>
      <name val="Times New Roman"/>
      <family val="1"/>
    </font>
    <font>
      <sz val="12"/>
      <color indexed="36"/>
      <name val="Times New Roman"/>
      <family val="1"/>
    </font>
    <font>
      <sz val="12"/>
      <color indexed="36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rgb="FF7030A0"/>
      <name val="Times New Roman"/>
      <family val="1"/>
    </font>
    <font>
      <sz val="12"/>
      <color rgb="FF7030A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5" fillId="0" borderId="0"/>
    <xf numFmtId="0" fontId="25" fillId="0" borderId="0"/>
  </cellStyleXfs>
  <cellXfs count="45">
    <xf numFmtId="0" fontId="0" fillId="0" borderId="0" xfId="0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177" fontId="18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180" fontId="4" fillId="0" borderId="0" xfId="0" applyNumberFormat="1" applyFont="1" applyAlignment="1">
      <alignment horizontal="left" vertical="center"/>
    </xf>
    <xf numFmtId="0" fontId="4" fillId="0" borderId="0" xfId="0" applyFont="1" applyAlignment="1"/>
    <xf numFmtId="179" fontId="4" fillId="0" borderId="0" xfId="0" applyNumberFormat="1" applyFont="1" applyAlignment="1">
      <alignment horizontal="left" vertical="center"/>
    </xf>
    <xf numFmtId="180" fontId="20" fillId="0" borderId="0" xfId="0" applyNumberFormat="1" applyFont="1" applyAlignment="1">
      <alignment horizontal="left" vertical="center"/>
    </xf>
    <xf numFmtId="0" fontId="20" fillId="0" borderId="0" xfId="0" applyFont="1" applyAlignment="1"/>
    <xf numFmtId="180" fontId="1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21" fillId="0" borderId="0" xfId="0" applyNumberFormat="1" applyFont="1" applyAlignment="1">
      <alignment horizontal="left" vertical="center"/>
    </xf>
    <xf numFmtId="0" fontId="21" fillId="0" borderId="0" xfId="0" applyFont="1" applyAlignment="1"/>
    <xf numFmtId="176" fontId="4" fillId="0" borderId="0" xfId="0" applyNumberFormat="1" applyFont="1" applyAlignment="1">
      <alignment horizontal="left" vertical="center"/>
    </xf>
    <xf numFmtId="179" fontId="21" fillId="0" borderId="0" xfId="0" applyNumberFormat="1" applyFont="1" applyAlignment="1">
      <alignment horizontal="left" vertical="center"/>
    </xf>
    <xf numFmtId="179" fontId="18" fillId="0" borderId="0" xfId="0" applyNumberFormat="1" applyFont="1" applyAlignment="1">
      <alignment horizontal="left" vertical="center"/>
    </xf>
    <xf numFmtId="179" fontId="20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8" fontId="18" fillId="0" borderId="0" xfId="0" applyNumberFormat="1" applyFont="1" applyAlignment="1">
      <alignment horizontal="left" vertical="center"/>
    </xf>
    <xf numFmtId="178" fontId="20" fillId="0" borderId="0" xfId="0" applyNumberFormat="1" applyFont="1" applyAlignment="1">
      <alignment horizontal="left" vertical="center"/>
    </xf>
    <xf numFmtId="178" fontId="21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77" fontId="22" fillId="0" borderId="0" xfId="0" applyNumberFormat="1" applyFont="1" applyAlignment="1">
      <alignment horizontal="left" vertical="center"/>
    </xf>
    <xf numFmtId="18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2" fillId="0" borderId="0" xfId="0" applyFont="1" applyAlignment="1"/>
    <xf numFmtId="178" fontId="22" fillId="0" borderId="0" xfId="0" applyNumberFormat="1" applyFont="1" applyAlignment="1">
      <alignment horizontal="left" vertical="center"/>
    </xf>
    <xf numFmtId="179" fontId="22" fillId="0" borderId="0" xfId="0" applyNumberFormat="1" applyFont="1" applyAlignment="1">
      <alignment horizontal="left" vertical="center"/>
    </xf>
    <xf numFmtId="0" fontId="18" fillId="0" borderId="0" xfId="0" applyFont="1" applyAlignment="1"/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4" fillId="0" borderId="0" xfId="0" applyFont="1">
      <alignment vertical="center"/>
    </xf>
  </cellXfs>
  <cellStyles count="3">
    <cellStyle name="常规" xfId="0" builtinId="0"/>
    <cellStyle name="常规 2" xfId="1" xr:uid="{81DADF37-B3D0-9547-BA47-176B5B5B6F41}"/>
    <cellStyle name="常规 3" xfId="2" xr:uid="{7AE76C8C-0399-49B7-AAC8-1982EDC5E9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6A2F-6058-C84C-81EE-F384D68CC1AA}">
  <dimension ref="A1:S1174"/>
  <sheetViews>
    <sheetView zoomScaleNormal="100" zoomScaleSheetLayoutView="100" workbookViewId="0">
      <pane ySplit="1" topLeftCell="A2" activePane="bottomLeft" state="frozen"/>
      <selection pane="bottomLeft" activeCell="K23" sqref="K23"/>
    </sheetView>
  </sheetViews>
  <sheetFormatPr defaultColWidth="11" defaultRowHeight="15.5" x14ac:dyDescent="0.25"/>
  <cols>
    <col min="1" max="1" width="6.81640625" style="3" customWidth="1"/>
    <col min="2" max="2" width="6.6328125" style="3" customWidth="1"/>
    <col min="3" max="3" width="6.453125" style="3" customWidth="1"/>
    <col min="4" max="4" width="11.453125" style="3" customWidth="1"/>
    <col min="5" max="5" width="10.453125" style="3" customWidth="1"/>
    <col min="6" max="6" width="8.6328125" style="3" customWidth="1"/>
    <col min="7" max="7" width="9.1796875" style="4" customWidth="1"/>
    <col min="8" max="8" width="14.6328125" style="3" customWidth="1"/>
    <col min="9" max="9" width="16.36328125" style="30" customWidth="1"/>
    <col min="10" max="10" width="13.36328125" style="3" customWidth="1"/>
    <col min="11" max="11" width="12.6328125" style="3" customWidth="1"/>
    <col min="12" max="12" width="3.6328125" style="3" customWidth="1"/>
    <col min="13" max="13" width="27.1796875" style="3" customWidth="1"/>
    <col min="14" max="15" width="11" style="3"/>
    <col min="16" max="16" width="12.6328125" style="3" bestFit="1" customWidth="1"/>
    <col min="17" max="16384" width="11" style="3"/>
  </cols>
  <sheetData>
    <row r="1" spans="1:16" x14ac:dyDescent="0.25">
      <c r="A1" s="3" t="s">
        <v>18</v>
      </c>
      <c r="B1" s="3" t="s">
        <v>4</v>
      </c>
      <c r="C1" s="3" t="s">
        <v>1</v>
      </c>
      <c r="D1" s="3" t="s">
        <v>2108</v>
      </c>
      <c r="E1" s="3" t="s">
        <v>9</v>
      </c>
      <c r="F1" s="3" t="s">
        <v>16</v>
      </c>
      <c r="G1" s="4" t="s">
        <v>17</v>
      </c>
      <c r="H1" s="3" t="s">
        <v>19</v>
      </c>
      <c r="I1" s="3" t="s">
        <v>2110</v>
      </c>
      <c r="J1" s="3" t="s">
        <v>10</v>
      </c>
      <c r="K1" s="3" t="s">
        <v>11</v>
      </c>
      <c r="L1" s="3" t="s">
        <v>12</v>
      </c>
      <c r="M1" s="3" t="s">
        <v>2074</v>
      </c>
      <c r="N1" s="3" t="s">
        <v>2075</v>
      </c>
    </row>
    <row r="2" spans="1:16" x14ac:dyDescent="0.35">
      <c r="A2" s="3" t="s">
        <v>307</v>
      </c>
      <c r="B2" s="3" t="s">
        <v>252</v>
      </c>
      <c r="C2" s="3" t="s">
        <v>422</v>
      </c>
      <c r="D2" s="3">
        <v>13.67</v>
      </c>
      <c r="E2" s="3">
        <v>13.67</v>
      </c>
      <c r="F2" s="3">
        <v>13.67</v>
      </c>
      <c r="G2" s="4">
        <v>13.67</v>
      </c>
      <c r="H2" s="17">
        <v>2.452173258155246E-2</v>
      </c>
      <c r="I2" s="17">
        <v>2.452173258155246E-2</v>
      </c>
      <c r="J2" s="3">
        <v>1.9617386065241969E-2</v>
      </c>
      <c r="K2" s="3">
        <v>2.9426079097862951E-2</v>
      </c>
      <c r="L2" s="3">
        <v>2</v>
      </c>
      <c r="N2" s="5">
        <v>1</v>
      </c>
      <c r="O2" s="18"/>
      <c r="P2" s="17"/>
    </row>
    <row r="3" spans="1:16" x14ac:dyDescent="0.35">
      <c r="A3" s="3" t="s">
        <v>123</v>
      </c>
      <c r="B3" s="3" t="s">
        <v>253</v>
      </c>
      <c r="C3" s="3" t="s">
        <v>25</v>
      </c>
      <c r="G3" s="4">
        <v>277.08</v>
      </c>
      <c r="H3" s="17">
        <v>2.9674288872191118E-3</v>
      </c>
      <c r="I3" s="17">
        <v>2.9674288872191118E-3</v>
      </c>
      <c r="J3" s="3">
        <v>1.1884945987863096E-3</v>
      </c>
      <c r="K3" s="3">
        <v>1.7827418981794644E-3</v>
      </c>
      <c r="L3" s="3">
        <v>2</v>
      </c>
      <c r="N3" s="5">
        <v>2</v>
      </c>
      <c r="O3" s="18"/>
      <c r="P3" s="17"/>
    </row>
    <row r="4" spans="1:16" x14ac:dyDescent="0.35">
      <c r="A4" s="3" t="s">
        <v>124</v>
      </c>
      <c r="B4" s="3" t="s">
        <v>25</v>
      </c>
      <c r="C4" s="3" t="s">
        <v>423</v>
      </c>
      <c r="G4" s="4">
        <v>275.48</v>
      </c>
      <c r="H4" s="17">
        <v>4.144913925553687E-4</v>
      </c>
      <c r="I4" s="17">
        <v>4.144913925553687E-4</v>
      </c>
      <c r="J4" s="3">
        <v>6.9134580506395265E-5</v>
      </c>
      <c r="K4" s="3">
        <v>1.0370187075959288E-4</v>
      </c>
      <c r="L4" s="3">
        <v>2</v>
      </c>
      <c r="N4" s="5">
        <v>3</v>
      </c>
      <c r="O4" s="18"/>
      <c r="P4" s="17"/>
    </row>
    <row r="5" spans="1:16" x14ac:dyDescent="0.35">
      <c r="A5" s="3" t="s">
        <v>125</v>
      </c>
      <c r="B5" s="3" t="s">
        <v>21</v>
      </c>
      <c r="C5" s="3" t="s">
        <v>99</v>
      </c>
      <c r="G5" s="4">
        <v>13.11</v>
      </c>
      <c r="H5" s="17">
        <v>6.785427404988251E-4</v>
      </c>
      <c r="I5" s="17">
        <v>6.785427404988251E-4</v>
      </c>
      <c r="J5" s="3">
        <f>I5*0.1</f>
        <v>6.785427404988251E-5</v>
      </c>
      <c r="K5" s="3">
        <f>I5*10</f>
        <v>6.7854274049882514E-3</v>
      </c>
      <c r="L5" s="3">
        <v>2</v>
      </c>
      <c r="N5" s="5">
        <v>4</v>
      </c>
      <c r="O5" s="18"/>
      <c r="P5" s="17"/>
    </row>
    <row r="6" spans="1:16" x14ac:dyDescent="0.35">
      <c r="A6" s="3" t="s">
        <v>126</v>
      </c>
      <c r="B6" s="3" t="s">
        <v>26</v>
      </c>
      <c r="C6" s="3" t="s">
        <v>424</v>
      </c>
      <c r="D6" s="3">
        <v>8.7899999999999991</v>
      </c>
      <c r="E6" s="3">
        <v>8.7899999999999991</v>
      </c>
      <c r="F6" s="3">
        <v>8.7899999999999991</v>
      </c>
      <c r="G6" s="4">
        <v>8.7899999999999991</v>
      </c>
      <c r="H6" s="17">
        <v>3.4497849045343691E-2</v>
      </c>
      <c r="I6" s="17">
        <v>3.4497849045343691E-2</v>
      </c>
      <c r="J6" s="3">
        <f>I6*0.8</f>
        <v>2.7598279236274954E-2</v>
      </c>
      <c r="K6" s="3">
        <f>I6*1.2</f>
        <v>4.1397418854412428E-2</v>
      </c>
      <c r="L6" s="3">
        <v>2</v>
      </c>
      <c r="N6" s="5">
        <v>5</v>
      </c>
      <c r="O6" s="18"/>
      <c r="P6" s="17"/>
    </row>
    <row r="7" spans="1:16" x14ac:dyDescent="0.35">
      <c r="A7" s="3" t="s">
        <v>127</v>
      </c>
      <c r="B7" s="3" t="s">
        <v>27</v>
      </c>
      <c r="C7" s="3" t="s">
        <v>425</v>
      </c>
      <c r="G7" s="4">
        <v>1.71</v>
      </c>
      <c r="H7" s="17">
        <v>2.414962212203444E-4</v>
      </c>
      <c r="I7" s="17">
        <v>2.414962212203444E-4</v>
      </c>
      <c r="J7" s="3">
        <v>4.8299244244068878E-5</v>
      </c>
      <c r="K7" s="3">
        <v>4.8299244244068881E-4</v>
      </c>
      <c r="L7" s="3">
        <v>2</v>
      </c>
      <c r="N7" s="5">
        <v>6</v>
      </c>
      <c r="O7" s="18"/>
      <c r="P7" s="17"/>
    </row>
    <row r="8" spans="1:16" x14ac:dyDescent="0.35">
      <c r="A8" s="3" t="s">
        <v>128</v>
      </c>
      <c r="B8" s="3" t="s">
        <v>28</v>
      </c>
      <c r="C8" s="3" t="s">
        <v>87</v>
      </c>
      <c r="G8" s="4">
        <v>270.23</v>
      </c>
      <c r="H8" s="17">
        <v>5.5691029012975669E-5</v>
      </c>
      <c r="I8" s="17">
        <v>5.5691029012975669E-5</v>
      </c>
      <c r="J8" s="3">
        <v>8.8626711689683763E-5</v>
      </c>
      <c r="K8" s="3">
        <v>1.3294006753452564E-4</v>
      </c>
      <c r="L8" s="3">
        <v>2</v>
      </c>
      <c r="N8" s="5">
        <v>7</v>
      </c>
      <c r="O8" s="18"/>
      <c r="P8" s="17"/>
    </row>
    <row r="9" spans="1:16" x14ac:dyDescent="0.35">
      <c r="A9" s="3" t="s">
        <v>129</v>
      </c>
      <c r="B9" s="3" t="s">
        <v>24</v>
      </c>
      <c r="C9" s="3" t="s">
        <v>252</v>
      </c>
      <c r="G9" s="4">
        <v>6.92</v>
      </c>
      <c r="H9" s="17">
        <v>3.7540003281372011E-2</v>
      </c>
      <c r="I9" s="17">
        <v>3.7540003281372011E-2</v>
      </c>
      <c r="J9" s="3">
        <v>3.0032002625097611E-2</v>
      </c>
      <c r="K9" s="3">
        <v>4.5048003937646415E-2</v>
      </c>
      <c r="L9" s="3">
        <v>2</v>
      </c>
      <c r="N9" s="5">
        <v>8</v>
      </c>
      <c r="O9" s="18"/>
      <c r="P9" s="17"/>
    </row>
    <row r="10" spans="1:16" x14ac:dyDescent="0.35">
      <c r="A10" s="3" t="s">
        <v>130</v>
      </c>
      <c r="B10" s="3" t="s">
        <v>24</v>
      </c>
      <c r="C10" s="3" t="s">
        <v>31</v>
      </c>
      <c r="G10" s="4">
        <v>0.1</v>
      </c>
      <c r="H10" s="17">
        <v>1.121095247632096E-2</v>
      </c>
      <c r="I10" s="17">
        <v>1.121095247632096E-2</v>
      </c>
      <c r="J10" s="3">
        <v>8.9687619810567675E-3</v>
      </c>
      <c r="K10" s="3">
        <v>1.3453142971585152E-2</v>
      </c>
      <c r="L10" s="3">
        <v>2</v>
      </c>
      <c r="N10" s="5">
        <v>9</v>
      </c>
      <c r="O10" s="18"/>
      <c r="P10" s="17"/>
    </row>
    <row r="11" spans="1:16" x14ac:dyDescent="0.35">
      <c r="A11" s="3" t="s">
        <v>131</v>
      </c>
      <c r="B11" s="3" t="s">
        <v>22</v>
      </c>
      <c r="C11" s="3" t="s">
        <v>33</v>
      </c>
      <c r="G11" s="4">
        <v>11.269999999999939</v>
      </c>
      <c r="H11" s="17">
        <v>8.1584340237732186E-3</v>
      </c>
      <c r="I11" s="17">
        <v>8.1584340237732186E-3</v>
      </c>
      <c r="J11" s="3">
        <v>1.4353878346114873E-3</v>
      </c>
      <c r="K11" s="3">
        <v>2.1530817519172306E-3</v>
      </c>
      <c r="L11" s="3">
        <v>2</v>
      </c>
      <c r="N11" s="5">
        <v>10</v>
      </c>
      <c r="O11" s="18"/>
      <c r="P11" s="17"/>
    </row>
    <row r="12" spans="1:16" x14ac:dyDescent="0.35">
      <c r="A12" s="3" t="s">
        <v>132</v>
      </c>
      <c r="B12" s="3" t="s">
        <v>23</v>
      </c>
      <c r="C12" s="3" t="s">
        <v>22</v>
      </c>
      <c r="G12" s="4">
        <v>10.509999999999939</v>
      </c>
      <c r="H12" s="17">
        <v>1.5392128393741581E-2</v>
      </c>
      <c r="I12" s="17">
        <v>1.5392128393741581E-2</v>
      </c>
      <c r="J12" s="3">
        <v>2.5233355757429948E-3</v>
      </c>
      <c r="K12" s="3">
        <v>3.7850033636144913E-3</v>
      </c>
      <c r="L12" s="3">
        <v>2</v>
      </c>
      <c r="N12" s="5">
        <v>11</v>
      </c>
      <c r="O12" s="18"/>
      <c r="P12" s="17"/>
    </row>
    <row r="13" spans="1:16" x14ac:dyDescent="0.35">
      <c r="A13" s="3" t="s">
        <v>133</v>
      </c>
      <c r="B13" s="3" t="s">
        <v>426</v>
      </c>
      <c r="C13" s="3" t="s">
        <v>34</v>
      </c>
      <c r="G13" s="4">
        <v>2.4000000000000581</v>
      </c>
      <c r="H13" s="17">
        <v>2.169823076558321E-2</v>
      </c>
      <c r="I13" s="17">
        <v>2.169823076558321E-2</v>
      </c>
      <c r="J13" s="3">
        <v>4.3396461531166417E-3</v>
      </c>
      <c r="K13" s="3">
        <v>4.3396461531166421E-2</v>
      </c>
      <c r="L13" s="3">
        <v>2</v>
      </c>
      <c r="N13" s="5">
        <v>12</v>
      </c>
      <c r="O13" s="18"/>
      <c r="P13" s="17"/>
    </row>
    <row r="14" spans="1:16" x14ac:dyDescent="0.35">
      <c r="A14" s="3" t="s">
        <v>134</v>
      </c>
      <c r="B14" s="3" t="s">
        <v>43</v>
      </c>
      <c r="C14" s="3" t="s">
        <v>255</v>
      </c>
      <c r="G14" s="4">
        <v>1.88</v>
      </c>
      <c r="H14" s="17">
        <v>2.4036439567720479E-3</v>
      </c>
      <c r="I14" s="17">
        <v>2.4036439567720479E-3</v>
      </c>
      <c r="J14" s="3">
        <v>1.4069356892590984E-3</v>
      </c>
      <c r="K14" s="3">
        <v>2.1104035338886475E-3</v>
      </c>
      <c r="L14" s="3">
        <v>2</v>
      </c>
      <c r="N14" s="5">
        <v>13</v>
      </c>
      <c r="O14" s="18"/>
      <c r="P14" s="17"/>
    </row>
    <row r="15" spans="1:16" x14ac:dyDescent="0.35">
      <c r="A15" s="3" t="s">
        <v>135</v>
      </c>
      <c r="B15" s="3" t="s">
        <v>43</v>
      </c>
      <c r="C15" s="3" t="s">
        <v>427</v>
      </c>
      <c r="G15" s="4">
        <v>0.2</v>
      </c>
      <c r="H15" s="17">
        <v>3.7003878474715039E-3</v>
      </c>
      <c r="I15" s="17">
        <v>3.7003878474715039E-3</v>
      </c>
      <c r="J15" s="3">
        <v>6.3596928107982381E-4</v>
      </c>
      <c r="K15" s="3">
        <v>7.4007756949430077E-3</v>
      </c>
      <c r="L15" s="3">
        <v>2</v>
      </c>
      <c r="N15" s="5">
        <v>14</v>
      </c>
      <c r="O15" s="18"/>
      <c r="P15" s="17"/>
    </row>
    <row r="16" spans="1:16" x14ac:dyDescent="0.35">
      <c r="A16" s="7" t="s">
        <v>136</v>
      </c>
      <c r="B16" s="7" t="s">
        <v>46</v>
      </c>
      <c r="C16" s="7" t="s">
        <v>29</v>
      </c>
      <c r="D16" s="7"/>
      <c r="E16" s="7"/>
      <c r="F16" s="7"/>
      <c r="G16" s="11">
        <v>0.26500000000002882</v>
      </c>
      <c r="H16" s="9">
        <v>20</v>
      </c>
      <c r="I16" s="22">
        <v>2.3430667953017121E-3</v>
      </c>
      <c r="J16" s="7">
        <v>4.1361707164467513E-4</v>
      </c>
      <c r="K16" s="7">
        <v>80</v>
      </c>
      <c r="L16" s="7">
        <v>2</v>
      </c>
      <c r="M16" s="7"/>
      <c r="N16" s="8">
        <v>15</v>
      </c>
      <c r="O16" s="18"/>
      <c r="P16" s="17"/>
    </row>
    <row r="17" spans="1:16" x14ac:dyDescent="0.35">
      <c r="A17" s="7" t="s">
        <v>137</v>
      </c>
      <c r="B17" s="7" t="s">
        <v>46</v>
      </c>
      <c r="C17" s="7" t="s">
        <v>257</v>
      </c>
      <c r="D17" s="7"/>
      <c r="E17" s="7"/>
      <c r="F17" s="7"/>
      <c r="G17" s="11">
        <v>0.1</v>
      </c>
      <c r="H17" s="9">
        <v>20</v>
      </c>
      <c r="I17" s="22">
        <v>2.4267022551588999E-3</v>
      </c>
      <c r="J17" s="7">
        <v>5.841382548115232E-3</v>
      </c>
      <c r="K17" s="7">
        <v>1000</v>
      </c>
      <c r="L17" s="7">
        <v>2</v>
      </c>
      <c r="M17" s="7"/>
      <c r="N17" s="8">
        <v>16</v>
      </c>
      <c r="O17" s="18"/>
      <c r="P17" s="17"/>
    </row>
    <row r="18" spans="1:16" x14ac:dyDescent="0.35">
      <c r="A18" s="3" t="s">
        <v>138</v>
      </c>
      <c r="B18" s="3" t="s">
        <v>257</v>
      </c>
      <c r="C18" s="3" t="s">
        <v>29</v>
      </c>
      <c r="G18" s="4">
        <v>0.2</v>
      </c>
      <c r="H18" s="17">
        <v>2.216928925766522E-3</v>
      </c>
      <c r="I18" s="17">
        <v>2.216928925766522E-3</v>
      </c>
      <c r="J18" s="3">
        <v>1.7735431406132177E-3</v>
      </c>
      <c r="K18" s="3">
        <v>2.6603147109198265E-3</v>
      </c>
      <c r="L18" s="3">
        <v>2</v>
      </c>
      <c r="N18" s="5">
        <v>17</v>
      </c>
      <c r="O18" s="18"/>
      <c r="P18" s="17"/>
    </row>
    <row r="19" spans="1:16" x14ac:dyDescent="0.35">
      <c r="A19" s="3" t="s">
        <v>139</v>
      </c>
      <c r="B19" s="3" t="s">
        <v>427</v>
      </c>
      <c r="C19" s="3" t="s">
        <v>50</v>
      </c>
      <c r="G19" s="4">
        <v>0.1</v>
      </c>
      <c r="H19" s="17">
        <v>6.9275266463983019E-3</v>
      </c>
      <c r="I19" s="17">
        <v>6.9275266463983019E-3</v>
      </c>
      <c r="J19" s="3">
        <v>1.6017440623997247E-3</v>
      </c>
      <c r="K19" s="3">
        <v>1.3855053292796604E-2</v>
      </c>
      <c r="L19" s="3">
        <v>2</v>
      </c>
      <c r="N19" s="5">
        <v>18</v>
      </c>
      <c r="O19" s="18"/>
      <c r="P19" s="17" t="s">
        <v>2081</v>
      </c>
    </row>
    <row r="20" spans="1:16" x14ac:dyDescent="0.35">
      <c r="A20" s="3" t="s">
        <v>140</v>
      </c>
      <c r="B20" s="3" t="s">
        <v>51</v>
      </c>
      <c r="C20" s="3" t="s">
        <v>52</v>
      </c>
      <c r="G20" s="4">
        <v>0.2</v>
      </c>
      <c r="H20" s="17">
        <v>1.2689419299163761E-3</v>
      </c>
      <c r="I20" s="17">
        <v>1.2689419299163761E-3</v>
      </c>
      <c r="J20" s="3">
        <v>2.0544286617164465E-4</v>
      </c>
      <c r="K20" s="3">
        <v>2.5378838598327522E-3</v>
      </c>
      <c r="L20" s="3">
        <v>2</v>
      </c>
      <c r="N20" s="5">
        <v>19</v>
      </c>
      <c r="O20" s="18"/>
      <c r="P20" s="17"/>
    </row>
    <row r="21" spans="1:16" x14ac:dyDescent="0.35">
      <c r="A21" s="3" t="s">
        <v>141</v>
      </c>
      <c r="B21" s="3" t="s">
        <v>55</v>
      </c>
      <c r="C21" s="3" t="s">
        <v>57</v>
      </c>
      <c r="G21" s="4">
        <v>15.970000000000059</v>
      </c>
      <c r="H21" s="17">
        <v>1.1194781759058079E-2</v>
      </c>
      <c r="I21" s="17">
        <v>1.1194781759058079E-2</v>
      </c>
      <c r="J21" s="3">
        <v>9.4035820110504251E-3</v>
      </c>
      <c r="K21" s="3">
        <v>1.4105373016575634E-2</v>
      </c>
      <c r="L21" s="3">
        <v>2</v>
      </c>
      <c r="N21" s="5">
        <v>20</v>
      </c>
      <c r="O21" s="18"/>
      <c r="P21" s="17"/>
    </row>
    <row r="22" spans="1:16" x14ac:dyDescent="0.35">
      <c r="A22" s="3" t="s">
        <v>142</v>
      </c>
      <c r="B22" s="3" t="s">
        <v>53</v>
      </c>
      <c r="C22" s="3" t="s">
        <v>55</v>
      </c>
      <c r="G22" s="4">
        <v>16.070000000000061</v>
      </c>
      <c r="H22" s="17">
        <v>2.3982896058345929E-2</v>
      </c>
      <c r="I22" s="17">
        <v>2.3982896058345929E-2</v>
      </c>
      <c r="J22" s="3">
        <v>9.6589289716355452E-3</v>
      </c>
      <c r="K22" s="3">
        <v>1.4488393457453315E-2</v>
      </c>
      <c r="L22" s="3">
        <v>2</v>
      </c>
      <c r="N22" s="5">
        <v>21</v>
      </c>
      <c r="O22" s="18"/>
      <c r="P22" s="17"/>
    </row>
    <row r="23" spans="1:16" x14ac:dyDescent="0.35">
      <c r="A23" s="3" t="s">
        <v>143</v>
      </c>
      <c r="B23" s="3" t="s">
        <v>57</v>
      </c>
      <c r="C23" s="3" t="s">
        <v>40</v>
      </c>
      <c r="D23" s="3">
        <v>5.22</v>
      </c>
      <c r="E23" s="3">
        <v>5.22</v>
      </c>
      <c r="F23" s="3">
        <v>5.22</v>
      </c>
      <c r="G23" s="4">
        <v>5.22</v>
      </c>
      <c r="H23" s="17">
        <v>5.7011415190132307E-3</v>
      </c>
      <c r="I23" s="17">
        <v>5.7011415190132307E-3</v>
      </c>
      <c r="J23" s="3">
        <v>5.2068532915963721E-3</v>
      </c>
      <c r="K23" s="3">
        <v>7.8102799373945568E-3</v>
      </c>
      <c r="L23" s="3">
        <v>2</v>
      </c>
      <c r="N23" s="5">
        <v>22</v>
      </c>
      <c r="O23" s="18"/>
      <c r="P23" s="17"/>
    </row>
    <row r="24" spans="1:16" x14ac:dyDescent="0.35">
      <c r="A24" s="3" t="s">
        <v>243</v>
      </c>
      <c r="B24" s="3" t="s">
        <v>57</v>
      </c>
      <c r="C24" s="3" t="s">
        <v>41</v>
      </c>
      <c r="G24" s="4">
        <v>10.75000000000006</v>
      </c>
      <c r="H24" s="17">
        <v>2.3899000528275031E-3</v>
      </c>
      <c r="I24" s="17">
        <v>2.3899000528275031E-3</v>
      </c>
      <c r="J24" s="3">
        <v>4.7798001056550065E-4</v>
      </c>
      <c r="K24" s="3">
        <v>4.7798001056550063E-3</v>
      </c>
      <c r="L24" s="3">
        <v>2</v>
      </c>
      <c r="N24" s="5">
        <v>23</v>
      </c>
      <c r="O24" s="18"/>
      <c r="P24" s="17"/>
    </row>
    <row r="25" spans="1:16" x14ac:dyDescent="0.35">
      <c r="A25" s="3" t="s">
        <v>145</v>
      </c>
      <c r="B25" s="3" t="s">
        <v>428</v>
      </c>
      <c r="C25" s="3" t="s">
        <v>429</v>
      </c>
      <c r="G25" s="4">
        <v>0.1</v>
      </c>
      <c r="H25" s="17">
        <v>5.334915468673756E-3</v>
      </c>
      <c r="I25" s="17">
        <v>5.334915468673756E-3</v>
      </c>
      <c r="J25" s="3">
        <v>4.2679323749390046E-3</v>
      </c>
      <c r="K25" s="3">
        <v>6.4018985624085074E-3</v>
      </c>
      <c r="L25" s="3">
        <v>2</v>
      </c>
      <c r="N25" s="5">
        <v>24</v>
      </c>
      <c r="O25" s="18"/>
      <c r="P25" s="17"/>
    </row>
    <row r="26" spans="1:16" x14ac:dyDescent="0.35">
      <c r="A26" s="3" t="s">
        <v>146</v>
      </c>
      <c r="B26" s="3" t="s">
        <v>59</v>
      </c>
      <c r="C26" s="3" t="s">
        <v>430</v>
      </c>
      <c r="G26" s="4">
        <v>4.1399999999999997</v>
      </c>
      <c r="H26" s="17">
        <v>1.460587512098119E-4</v>
      </c>
      <c r="I26" s="17">
        <v>1.460587512098119E-4</v>
      </c>
      <c r="J26" s="3">
        <v>5.5232997123655662E-4</v>
      </c>
      <c r="K26" s="3">
        <v>8.2849495685483477E-4</v>
      </c>
      <c r="L26" s="3">
        <v>2</v>
      </c>
      <c r="N26" s="5">
        <v>25</v>
      </c>
      <c r="O26" s="18"/>
      <c r="P26" s="17"/>
    </row>
    <row r="27" spans="1:16" x14ac:dyDescent="0.35">
      <c r="A27" s="3" t="s">
        <v>147</v>
      </c>
      <c r="B27" s="3" t="s">
        <v>59</v>
      </c>
      <c r="C27" s="3" t="s">
        <v>117</v>
      </c>
      <c r="G27" s="4">
        <v>1.66</v>
      </c>
      <c r="H27" s="17">
        <v>2.792209200747923E-3</v>
      </c>
      <c r="I27" s="17">
        <v>2.792209200747923E-3</v>
      </c>
      <c r="J27" s="3">
        <f>I27*0.1</f>
        <v>2.7922092007479229E-4</v>
      </c>
      <c r="K27" s="3">
        <f>I27*10</f>
        <v>2.7922092007479228E-2</v>
      </c>
      <c r="L27" s="3">
        <v>2</v>
      </c>
      <c r="N27" s="5">
        <v>26</v>
      </c>
      <c r="O27" s="18"/>
      <c r="P27" s="17"/>
    </row>
    <row r="28" spans="1:16" s="7" customFormat="1" x14ac:dyDescent="0.35">
      <c r="A28" s="3" t="s">
        <v>148</v>
      </c>
      <c r="B28" s="3" t="s">
        <v>431</v>
      </c>
      <c r="C28" s="3" t="s">
        <v>432</v>
      </c>
      <c r="D28" s="3">
        <v>2.84</v>
      </c>
      <c r="E28" s="3">
        <v>2.84</v>
      </c>
      <c r="F28" s="3">
        <v>2.84</v>
      </c>
      <c r="G28" s="4">
        <v>2.84</v>
      </c>
      <c r="H28" s="17">
        <v>8.3136502868477714E-4</v>
      </c>
      <c r="I28" s="17">
        <v>8.3136502868477714E-4</v>
      </c>
      <c r="J28" s="3">
        <v>1.2656874112330482E-3</v>
      </c>
      <c r="K28" s="3">
        <v>1.8985311168495719E-3</v>
      </c>
      <c r="L28" s="3">
        <v>2</v>
      </c>
      <c r="M28" s="3"/>
      <c r="N28" s="5">
        <v>27</v>
      </c>
      <c r="O28" s="41"/>
      <c r="P28" s="22"/>
    </row>
    <row r="29" spans="1:16" s="34" customFormat="1" x14ac:dyDescent="0.35">
      <c r="A29" s="3" t="s">
        <v>149</v>
      </c>
      <c r="B29" s="3" t="s">
        <v>58</v>
      </c>
      <c r="C29" s="3" t="s">
        <v>54</v>
      </c>
      <c r="D29" s="3"/>
      <c r="E29" s="3"/>
      <c r="F29" s="3"/>
      <c r="G29" s="4">
        <v>0.2</v>
      </c>
      <c r="H29" s="17">
        <v>1.2340226591092531E-3</v>
      </c>
      <c r="I29" s="17">
        <v>1.2340226591092531E-3</v>
      </c>
      <c r="J29" s="3">
        <v>9.872181272874024E-4</v>
      </c>
      <c r="K29" s="3">
        <v>1.4808271909311037E-3</v>
      </c>
      <c r="L29" s="3">
        <v>2</v>
      </c>
      <c r="M29" s="3"/>
      <c r="N29" s="5">
        <v>28</v>
      </c>
      <c r="O29" s="38"/>
      <c r="P29" s="36"/>
    </row>
    <row r="30" spans="1:16" s="34" customFormat="1" x14ac:dyDescent="0.35">
      <c r="A30" s="3" t="s">
        <v>150</v>
      </c>
      <c r="B30" s="3" t="s">
        <v>58</v>
      </c>
      <c r="C30" s="3" t="s">
        <v>63</v>
      </c>
      <c r="D30" s="3"/>
      <c r="E30" s="3"/>
      <c r="F30" s="3"/>
      <c r="G30" s="4">
        <v>0.1</v>
      </c>
      <c r="H30" s="17">
        <v>1.495634160299525E-3</v>
      </c>
      <c r="I30" s="17">
        <v>1.495634160299525E-3</v>
      </c>
      <c r="J30" s="3">
        <v>6.0019015840019738E-4</v>
      </c>
      <c r="K30" s="3">
        <v>9.002852376002959E-4</v>
      </c>
      <c r="L30" s="3">
        <v>2</v>
      </c>
      <c r="M30" s="3"/>
      <c r="N30" s="5">
        <v>29</v>
      </c>
      <c r="O30" s="38"/>
      <c r="P30" s="36"/>
    </row>
    <row r="31" spans="1:16" s="34" customFormat="1" x14ac:dyDescent="0.35">
      <c r="A31" s="3" t="s">
        <v>151</v>
      </c>
      <c r="B31" s="3" t="s">
        <v>54</v>
      </c>
      <c r="C31" s="3" t="s">
        <v>65</v>
      </c>
      <c r="D31" s="3"/>
      <c r="E31" s="3"/>
      <c r="F31" s="3"/>
      <c r="G31" s="4">
        <v>0.1</v>
      </c>
      <c r="H31" s="17">
        <v>1.060426057762757E-3</v>
      </c>
      <c r="I31" s="17">
        <v>1.060426057762757E-3</v>
      </c>
      <c r="J31" s="3">
        <v>8.4834084621020558E-4</v>
      </c>
      <c r="K31" s="3">
        <v>1.2725112693153084E-3</v>
      </c>
      <c r="L31" s="3">
        <v>2</v>
      </c>
      <c r="M31" s="3"/>
      <c r="N31" s="5">
        <v>30</v>
      </c>
      <c r="O31" s="38"/>
      <c r="P31" s="36"/>
    </row>
    <row r="32" spans="1:16" s="34" customFormat="1" x14ac:dyDescent="0.35">
      <c r="A32" s="3" t="s">
        <v>152</v>
      </c>
      <c r="B32" s="3" t="s">
        <v>39</v>
      </c>
      <c r="C32" s="3" t="s">
        <v>433</v>
      </c>
      <c r="D32" s="3"/>
      <c r="E32" s="3"/>
      <c r="F32" s="3"/>
      <c r="G32" s="4">
        <v>88.409999999999826</v>
      </c>
      <c r="H32" s="17">
        <v>1.1850619655926571E-3</v>
      </c>
      <c r="I32" s="17">
        <v>1.1850619655926571E-3</v>
      </c>
      <c r="J32" s="3">
        <v>2.9440378266437585E-4</v>
      </c>
      <c r="K32" s="3">
        <v>3.2830196016214725E-4</v>
      </c>
      <c r="L32" s="3">
        <v>2</v>
      </c>
      <c r="M32" s="3"/>
      <c r="N32" s="5">
        <v>31</v>
      </c>
      <c r="O32" s="38"/>
      <c r="P32" s="36"/>
    </row>
    <row r="33" spans="1:16" s="34" customFormat="1" x14ac:dyDescent="0.35">
      <c r="A33" s="3" t="s">
        <v>153</v>
      </c>
      <c r="B33" s="3" t="s">
        <v>433</v>
      </c>
      <c r="C33" s="3" t="s">
        <v>434</v>
      </c>
      <c r="D33" s="3"/>
      <c r="E33" s="3"/>
      <c r="F33" s="3"/>
      <c r="G33" s="4">
        <v>92.219999999999828</v>
      </c>
      <c r="H33" s="17">
        <v>1.0418684225086761E-3</v>
      </c>
      <c r="I33" s="17">
        <v>1.0418684225086761E-3</v>
      </c>
      <c r="J33" s="3">
        <f>I33*0.8</f>
        <v>8.3349473800694088E-4</v>
      </c>
      <c r="K33" s="3">
        <f>I33*1.2</f>
        <v>1.2502421070104113E-3</v>
      </c>
      <c r="L33" s="3">
        <v>2</v>
      </c>
      <c r="M33" s="3"/>
      <c r="N33" s="5">
        <v>32</v>
      </c>
      <c r="O33" s="38"/>
      <c r="P33" s="36"/>
    </row>
    <row r="34" spans="1:16" s="34" customFormat="1" x14ac:dyDescent="0.35">
      <c r="A34" s="3" t="s">
        <v>154</v>
      </c>
      <c r="B34" s="3" t="s">
        <v>434</v>
      </c>
      <c r="C34" s="3" t="s">
        <v>435</v>
      </c>
      <c r="D34" s="3"/>
      <c r="E34" s="3"/>
      <c r="F34" s="3"/>
      <c r="G34" s="4">
        <v>93.629999999999825</v>
      </c>
      <c r="H34" s="17">
        <v>7.6623242594160701E-4</v>
      </c>
      <c r="I34" s="17">
        <v>7.6623242594160701E-4</v>
      </c>
      <c r="J34" s="3">
        <v>1.1669981222895659E-4</v>
      </c>
      <c r="K34" s="3">
        <v>1.7504971834343488E-4</v>
      </c>
      <c r="L34" s="3">
        <v>2</v>
      </c>
      <c r="M34" s="3"/>
      <c r="N34" s="5">
        <v>33</v>
      </c>
      <c r="O34" s="38"/>
      <c r="P34" s="36"/>
    </row>
    <row r="35" spans="1:16" s="34" customFormat="1" x14ac:dyDescent="0.35">
      <c r="A35" s="3" t="s">
        <v>155</v>
      </c>
      <c r="B35" s="3" t="s">
        <v>435</v>
      </c>
      <c r="C35" s="3" t="s">
        <v>436</v>
      </c>
      <c r="D35" s="3"/>
      <c r="E35" s="3"/>
      <c r="F35" s="3"/>
      <c r="G35" s="4">
        <v>95.219999999999828</v>
      </c>
      <c r="H35" s="17">
        <v>1.5060232061945791E-4</v>
      </c>
      <c r="I35" s="17">
        <v>1.5060232061945791E-4</v>
      </c>
      <c r="J35" s="3">
        <v>2.4024317705610739E-4</v>
      </c>
      <c r="K35" s="3">
        <v>3.6036476558416107E-4</v>
      </c>
      <c r="L35" s="3">
        <v>2</v>
      </c>
      <c r="M35" s="3"/>
      <c r="N35" s="5">
        <v>34</v>
      </c>
      <c r="O35" s="38"/>
      <c r="P35" s="36"/>
    </row>
    <row r="36" spans="1:16" s="34" customFormat="1" x14ac:dyDescent="0.35">
      <c r="A36" s="3" t="s">
        <v>156</v>
      </c>
      <c r="B36" s="3" t="s">
        <v>437</v>
      </c>
      <c r="C36" s="3" t="s">
        <v>436</v>
      </c>
      <c r="D36" s="3"/>
      <c r="E36" s="3"/>
      <c r="F36" s="3"/>
      <c r="G36" s="4">
        <v>9.23</v>
      </c>
      <c r="H36" s="17">
        <v>2.5108571544064793E-4</v>
      </c>
      <c r="I36" s="17">
        <v>2.5108571544064793E-4</v>
      </c>
      <c r="J36" s="3">
        <f>I36*0.1</f>
        <v>2.5108571544064793E-5</v>
      </c>
      <c r="K36" s="3">
        <f>I36*10</f>
        <v>2.5108571544064794E-3</v>
      </c>
      <c r="L36" s="3">
        <v>2</v>
      </c>
      <c r="M36" s="3"/>
      <c r="N36" s="5">
        <v>35</v>
      </c>
      <c r="O36" s="38"/>
      <c r="P36" s="36"/>
    </row>
    <row r="37" spans="1:16" s="34" customFormat="1" x14ac:dyDescent="0.35">
      <c r="A37" s="3" t="s">
        <v>157</v>
      </c>
      <c r="B37" s="3" t="s">
        <v>60</v>
      </c>
      <c r="C37" s="3" t="s">
        <v>437</v>
      </c>
      <c r="D37" s="3">
        <v>3.12</v>
      </c>
      <c r="E37" s="3">
        <v>3.12</v>
      </c>
      <c r="F37" s="3">
        <v>3.12</v>
      </c>
      <c r="G37" s="4">
        <v>3.12</v>
      </c>
      <c r="H37" s="17">
        <v>7.8705165665054761E-4</v>
      </c>
      <c r="I37" s="17">
        <v>7.8705165665054761E-4</v>
      </c>
      <c r="J37" s="3">
        <f>I37*0.1</f>
        <v>7.8705165665054767E-5</v>
      </c>
      <c r="K37" s="3">
        <f>I37*10</f>
        <v>7.8705165665054755E-3</v>
      </c>
      <c r="L37" s="3">
        <v>2</v>
      </c>
      <c r="M37" s="3"/>
      <c r="N37" s="5">
        <v>36</v>
      </c>
      <c r="O37" s="38"/>
      <c r="P37" s="36"/>
    </row>
    <row r="38" spans="1:16" s="34" customFormat="1" x14ac:dyDescent="0.35">
      <c r="A38" s="3" t="s">
        <v>158</v>
      </c>
      <c r="B38" s="3" t="s">
        <v>429</v>
      </c>
      <c r="C38" s="3" t="s">
        <v>60</v>
      </c>
      <c r="D38" s="3"/>
      <c r="E38" s="3"/>
      <c r="F38" s="3"/>
      <c r="G38" s="4">
        <v>0.2</v>
      </c>
      <c r="H38" s="17">
        <v>7.2389984817597701E-4</v>
      </c>
      <c r="I38" s="17">
        <v>7.2389984817597701E-4</v>
      </c>
      <c r="J38" s="3">
        <v>5.7911987854078158E-4</v>
      </c>
      <c r="K38" s="3">
        <v>8.6867981781117243E-4</v>
      </c>
      <c r="L38" s="3">
        <v>2</v>
      </c>
      <c r="M38" s="3"/>
      <c r="N38" s="5">
        <v>37</v>
      </c>
      <c r="O38" s="38"/>
      <c r="P38" s="36"/>
    </row>
    <row r="39" spans="1:16" s="34" customFormat="1" x14ac:dyDescent="0.35">
      <c r="A39" s="3" t="s">
        <v>159</v>
      </c>
      <c r="B39" s="3" t="s">
        <v>62</v>
      </c>
      <c r="C39" s="3" t="s">
        <v>432</v>
      </c>
      <c r="D39" s="3"/>
      <c r="E39" s="3"/>
      <c r="F39" s="3"/>
      <c r="G39" s="4">
        <v>2.96</v>
      </c>
      <c r="H39" s="17">
        <v>2.2726542219467971E-3</v>
      </c>
      <c r="I39" s="17">
        <v>2.2726542219467971E-3</v>
      </c>
      <c r="J39" s="3">
        <v>7.5187893309311485E-3</v>
      </c>
      <c r="K39" s="3">
        <v>1.1278183996396723E-2</v>
      </c>
      <c r="L39" s="3">
        <v>2</v>
      </c>
      <c r="M39" s="3"/>
      <c r="N39" s="5">
        <v>38</v>
      </c>
      <c r="O39" s="38"/>
      <c r="P39" s="36"/>
    </row>
    <row r="40" spans="1:16" s="34" customFormat="1" x14ac:dyDescent="0.35">
      <c r="A40" s="3" t="s">
        <v>160</v>
      </c>
      <c r="B40" s="3" t="s">
        <v>62</v>
      </c>
      <c r="C40" s="3" t="s">
        <v>437</v>
      </c>
      <c r="D40" s="3"/>
      <c r="E40" s="3"/>
      <c r="F40" s="3"/>
      <c r="G40" s="4">
        <v>6.11</v>
      </c>
      <c r="H40" s="17">
        <v>2.075515917533982E-3</v>
      </c>
      <c r="I40" s="17">
        <v>2.075515917533982E-3</v>
      </c>
      <c r="J40" s="3">
        <v>6.6177246408588757E-3</v>
      </c>
      <c r="K40" s="3">
        <v>9.9265869612883122E-3</v>
      </c>
      <c r="L40" s="3">
        <v>2</v>
      </c>
      <c r="M40" s="3"/>
      <c r="N40" s="5">
        <v>39</v>
      </c>
      <c r="O40" s="38"/>
      <c r="P40" s="36"/>
    </row>
    <row r="41" spans="1:16" s="34" customFormat="1" x14ac:dyDescent="0.35">
      <c r="A41" s="3" t="s">
        <v>161</v>
      </c>
      <c r="B41" s="3" t="s">
        <v>64</v>
      </c>
      <c r="C41" s="3" t="s">
        <v>431</v>
      </c>
      <c r="D41" s="3"/>
      <c r="E41" s="3"/>
      <c r="F41" s="3"/>
      <c r="G41" s="4">
        <v>3.14</v>
      </c>
      <c r="H41" s="17">
        <v>1.8122449463492719E-3</v>
      </c>
      <c r="I41" s="17">
        <v>1.8122449463492719E-3</v>
      </c>
      <c r="J41" s="3">
        <v>2.0264854100093782E-3</v>
      </c>
      <c r="K41" s="3">
        <v>3.0397281150140675E-3</v>
      </c>
      <c r="L41" s="3">
        <v>2</v>
      </c>
      <c r="M41" s="3"/>
      <c r="N41" s="5">
        <v>40</v>
      </c>
      <c r="O41" s="38"/>
      <c r="P41" s="36"/>
    </row>
    <row r="42" spans="1:16" s="34" customFormat="1" x14ac:dyDescent="0.35">
      <c r="A42" s="3" t="s">
        <v>162</v>
      </c>
      <c r="B42" s="3" t="s">
        <v>64</v>
      </c>
      <c r="C42" s="3" t="s">
        <v>435</v>
      </c>
      <c r="D42" s="3"/>
      <c r="E42" s="3"/>
      <c r="F42" s="3"/>
      <c r="G42" s="4">
        <v>1.590000000000001</v>
      </c>
      <c r="H42" s="19">
        <v>1.7972474012213221E-3</v>
      </c>
      <c r="I42" s="19">
        <v>1.7972474012213221E-3</v>
      </c>
      <c r="J42" s="3">
        <v>2.3717073807093458E-3</v>
      </c>
      <c r="K42" s="3">
        <v>3.5575610710640183E-3</v>
      </c>
      <c r="L42" s="3">
        <v>2</v>
      </c>
      <c r="M42" s="3"/>
      <c r="N42" s="5">
        <v>41</v>
      </c>
      <c r="O42" s="38"/>
      <c r="P42" s="36"/>
    </row>
    <row r="43" spans="1:16" s="34" customFormat="1" x14ac:dyDescent="0.35">
      <c r="A43" s="3" t="s">
        <v>163</v>
      </c>
      <c r="B43" s="3" t="s">
        <v>63</v>
      </c>
      <c r="C43" s="3" t="s">
        <v>434</v>
      </c>
      <c r="D43" s="3"/>
      <c r="E43" s="3"/>
      <c r="F43" s="3"/>
      <c r="G43" s="4">
        <v>1.410000000000001</v>
      </c>
      <c r="H43" s="17">
        <v>1.40441647007188E-3</v>
      </c>
      <c r="I43" s="17">
        <v>1.40441647007188E-3</v>
      </c>
      <c r="J43" s="3">
        <v>1.123533176057504E-3</v>
      </c>
      <c r="K43" s="3">
        <v>1.685299764086256E-3</v>
      </c>
      <c r="L43" s="3">
        <v>2</v>
      </c>
      <c r="M43" s="3"/>
      <c r="N43" s="5">
        <v>42</v>
      </c>
      <c r="O43" s="38"/>
      <c r="P43" s="36"/>
    </row>
    <row r="44" spans="1:16" s="34" customFormat="1" x14ac:dyDescent="0.35">
      <c r="A44" s="3" t="s">
        <v>164</v>
      </c>
      <c r="B44" s="3" t="s">
        <v>65</v>
      </c>
      <c r="C44" s="3" t="s">
        <v>433</v>
      </c>
      <c r="D44" s="3"/>
      <c r="E44" s="3"/>
      <c r="F44" s="3"/>
      <c r="G44" s="4">
        <v>3.8099999999999961</v>
      </c>
      <c r="H44" s="17">
        <v>1.111357265289164E-3</v>
      </c>
      <c r="I44" s="17">
        <v>1.111357265289164E-3</v>
      </c>
      <c r="J44" s="3">
        <v>8.268756042975929E-4</v>
      </c>
      <c r="K44" s="3">
        <v>1.2403134064463892E-3</v>
      </c>
      <c r="L44" s="3">
        <v>2</v>
      </c>
      <c r="M44" s="3"/>
      <c r="N44" s="5">
        <v>43</v>
      </c>
      <c r="O44" s="38"/>
      <c r="P44" s="36"/>
    </row>
    <row r="45" spans="1:16" s="34" customFormat="1" x14ac:dyDescent="0.35">
      <c r="A45" s="3" t="s">
        <v>165</v>
      </c>
      <c r="B45" s="3" t="s">
        <v>36</v>
      </c>
      <c r="C45" s="3" t="s">
        <v>39</v>
      </c>
      <c r="D45" s="3"/>
      <c r="E45" s="3"/>
      <c r="F45" s="3"/>
      <c r="G45" s="4">
        <v>4.5999999999999979</v>
      </c>
      <c r="H45" s="17">
        <v>1.091208531131278E-3</v>
      </c>
      <c r="I45" s="17">
        <v>1.091208531131278E-3</v>
      </c>
      <c r="J45" s="3">
        <v>1.2186473428575473E-3</v>
      </c>
      <c r="K45" s="3">
        <v>1.8279710142863207E-3</v>
      </c>
      <c r="L45" s="3">
        <v>2</v>
      </c>
      <c r="M45" s="3"/>
      <c r="N45" s="5">
        <v>44</v>
      </c>
      <c r="O45" s="38"/>
      <c r="P45" s="36"/>
    </row>
    <row r="46" spans="1:16" s="34" customFormat="1" x14ac:dyDescent="0.35">
      <c r="A46" s="3" t="s">
        <v>166</v>
      </c>
      <c r="B46" s="3" t="s">
        <v>66</v>
      </c>
      <c r="C46" s="3" t="s">
        <v>84</v>
      </c>
      <c r="D46" s="3"/>
      <c r="E46" s="3"/>
      <c r="F46" s="3"/>
      <c r="G46" s="4">
        <v>115.86999999999981</v>
      </c>
      <c r="H46" s="17">
        <v>2.301315262377938E-4</v>
      </c>
      <c r="I46" s="17">
        <v>2.301315262377938E-4</v>
      </c>
      <c r="J46" s="3">
        <v>1.0551995901262089E-4</v>
      </c>
      <c r="K46" s="3">
        <v>1.5827993851893132E-4</v>
      </c>
      <c r="L46" s="3">
        <v>2</v>
      </c>
      <c r="M46" s="3"/>
      <c r="N46" s="5">
        <v>45</v>
      </c>
      <c r="O46" s="38"/>
      <c r="P46" s="36"/>
    </row>
    <row r="47" spans="1:16" s="34" customFormat="1" x14ac:dyDescent="0.35">
      <c r="A47" s="3" t="s">
        <v>167</v>
      </c>
      <c r="B47" s="3" t="s">
        <v>67</v>
      </c>
      <c r="C47" s="3" t="s">
        <v>66</v>
      </c>
      <c r="D47" s="3"/>
      <c r="E47" s="3"/>
      <c r="F47" s="3"/>
      <c r="G47" s="4">
        <v>48.780000000000022</v>
      </c>
      <c r="H47" s="17">
        <v>4.524895065725397E-4</v>
      </c>
      <c r="I47" s="17">
        <v>4.524895065725397E-4</v>
      </c>
      <c r="J47" s="3">
        <v>6.3007511142441647E-4</v>
      </c>
      <c r="K47" s="3">
        <v>9.4511266713662471E-4</v>
      </c>
      <c r="L47" s="3">
        <v>2</v>
      </c>
      <c r="M47" s="3"/>
      <c r="N47" s="5">
        <v>46</v>
      </c>
      <c r="O47" s="38"/>
      <c r="P47" s="36"/>
    </row>
    <row r="48" spans="1:16" s="34" customFormat="1" x14ac:dyDescent="0.35">
      <c r="A48" s="3" t="s">
        <v>168</v>
      </c>
      <c r="B48" s="3" t="s">
        <v>69</v>
      </c>
      <c r="C48" s="3" t="s">
        <v>71</v>
      </c>
      <c r="D48" s="3"/>
      <c r="E48" s="3"/>
      <c r="F48" s="3"/>
      <c r="G48" s="4">
        <v>31.45</v>
      </c>
      <c r="H48" s="17">
        <v>8.0019260240343456E-4</v>
      </c>
      <c r="I48" s="17">
        <v>8.0019260240343456E-4</v>
      </c>
      <c r="J48" s="3">
        <f>I48*0.1</f>
        <v>8.0019260240343456E-5</v>
      </c>
      <c r="K48" s="3">
        <f>I48*10</f>
        <v>8.0019260240343452E-3</v>
      </c>
      <c r="L48" s="3">
        <v>2</v>
      </c>
      <c r="M48" s="3"/>
      <c r="N48" s="5">
        <v>47</v>
      </c>
      <c r="O48" s="38"/>
      <c r="P48" s="36"/>
    </row>
    <row r="49" spans="1:16" s="34" customFormat="1" x14ac:dyDescent="0.35">
      <c r="A49" s="3" t="s">
        <v>169</v>
      </c>
      <c r="B49" s="3" t="s">
        <v>71</v>
      </c>
      <c r="C49" s="3" t="s">
        <v>70</v>
      </c>
      <c r="D49" s="3"/>
      <c r="E49" s="3"/>
      <c r="F49" s="3"/>
      <c r="G49" s="4">
        <v>24.329999999999991</v>
      </c>
      <c r="H49" s="17">
        <v>8.6691710766471637E-4</v>
      </c>
      <c r="I49" s="17">
        <v>8.6691710766471637E-4</v>
      </c>
      <c r="J49" s="3">
        <v>2.0327240660138481E-3</v>
      </c>
      <c r="K49" s="3">
        <v>3.0490860990207715E-3</v>
      </c>
      <c r="L49" s="3">
        <v>2</v>
      </c>
      <c r="M49" s="3"/>
      <c r="N49" s="5">
        <v>48</v>
      </c>
      <c r="O49" s="38"/>
      <c r="P49" s="36"/>
    </row>
    <row r="50" spans="1:16" s="34" customFormat="1" x14ac:dyDescent="0.35">
      <c r="A50" s="7" t="s">
        <v>170</v>
      </c>
      <c r="B50" s="7" t="s">
        <v>71</v>
      </c>
      <c r="C50" s="7" t="s">
        <v>74</v>
      </c>
      <c r="D50" s="7"/>
      <c r="E50" s="7"/>
      <c r="F50" s="7"/>
      <c r="G50" s="11">
        <v>7.120000000000001</v>
      </c>
      <c r="H50" s="9">
        <v>1</v>
      </c>
      <c r="I50" s="22">
        <v>2.4764457594062821E-3</v>
      </c>
      <c r="J50" s="7">
        <v>2.7718135351106946E-3</v>
      </c>
      <c r="K50" s="7">
        <v>0.3</v>
      </c>
      <c r="L50" s="7">
        <v>2</v>
      </c>
      <c r="M50" s="7"/>
      <c r="N50" s="8">
        <v>49</v>
      </c>
      <c r="O50" s="38"/>
      <c r="P50" s="36"/>
    </row>
    <row r="51" spans="1:16" s="34" customFormat="1" x14ac:dyDescent="0.35">
      <c r="A51" s="3" t="s">
        <v>171</v>
      </c>
      <c r="B51" s="3" t="s">
        <v>70</v>
      </c>
      <c r="C51" s="3" t="s">
        <v>76</v>
      </c>
      <c r="D51" s="3"/>
      <c r="E51" s="3"/>
      <c r="F51" s="3"/>
      <c r="G51" s="4">
        <v>26.37</v>
      </c>
      <c r="H51" s="17">
        <v>1.6470598827562309E-3</v>
      </c>
      <c r="I51" s="17">
        <v>1.6470598827562309E-3</v>
      </c>
      <c r="J51" s="3">
        <v>2.7351009296137327E-4</v>
      </c>
      <c r="K51" s="3">
        <v>4.1026513944205988E-4</v>
      </c>
      <c r="L51" s="3">
        <v>2</v>
      </c>
      <c r="M51" s="3"/>
      <c r="N51" s="5">
        <v>50</v>
      </c>
      <c r="O51" s="38"/>
      <c r="P51" s="36"/>
    </row>
    <row r="52" spans="1:16" s="34" customFormat="1" x14ac:dyDescent="0.35">
      <c r="A52" s="7" t="s">
        <v>172</v>
      </c>
      <c r="B52" s="7" t="s">
        <v>72</v>
      </c>
      <c r="C52" s="7" t="s">
        <v>254</v>
      </c>
      <c r="D52" s="7"/>
      <c r="E52" s="7"/>
      <c r="F52" s="7"/>
      <c r="G52" s="11">
        <v>2.63</v>
      </c>
      <c r="H52" s="9">
        <v>18</v>
      </c>
      <c r="I52" s="22">
        <v>1.186242216956387E-4</v>
      </c>
      <c r="J52" s="7">
        <v>2.993930850971005E-2</v>
      </c>
      <c r="K52" s="7">
        <v>3</v>
      </c>
      <c r="L52" s="7">
        <v>2</v>
      </c>
      <c r="M52" s="7"/>
      <c r="N52" s="8">
        <v>51</v>
      </c>
      <c r="O52" s="38"/>
      <c r="P52" s="36"/>
    </row>
    <row r="53" spans="1:16" s="34" customFormat="1" x14ac:dyDescent="0.35">
      <c r="A53" s="3" t="s">
        <v>173</v>
      </c>
      <c r="B53" s="3" t="s">
        <v>72</v>
      </c>
      <c r="C53" s="3" t="s">
        <v>73</v>
      </c>
      <c r="D53" s="3"/>
      <c r="E53" s="3"/>
      <c r="F53" s="3"/>
      <c r="G53" s="4">
        <v>4.5900000000000016</v>
      </c>
      <c r="H53" s="17">
        <v>8.4294830841425685E-4</v>
      </c>
      <c r="I53" s="17">
        <v>8.4294830841425685E-4</v>
      </c>
      <c r="J53" s="3">
        <f>I53*0.1</f>
        <v>8.4294830841425691E-5</v>
      </c>
      <c r="K53" s="3">
        <f>I53*10</f>
        <v>8.4294830841425694E-3</v>
      </c>
      <c r="L53" s="3">
        <v>2</v>
      </c>
      <c r="M53" s="3"/>
      <c r="N53" s="5">
        <v>52</v>
      </c>
      <c r="O53" s="38"/>
      <c r="P53" s="36"/>
    </row>
    <row r="54" spans="1:16" s="34" customFormat="1" x14ac:dyDescent="0.35">
      <c r="A54" s="3" t="s">
        <v>174</v>
      </c>
      <c r="B54" s="3" t="s">
        <v>73</v>
      </c>
      <c r="C54" s="3" t="s">
        <v>75</v>
      </c>
      <c r="D54" s="3">
        <v>34.840000000000003</v>
      </c>
      <c r="E54" s="3">
        <v>34.840000000000003</v>
      </c>
      <c r="F54" s="3">
        <v>34.840000000000003</v>
      </c>
      <c r="G54" s="4">
        <v>34.840000000000003</v>
      </c>
      <c r="H54" s="17">
        <v>4.3521096857502878E-4</v>
      </c>
      <c r="I54" s="17">
        <v>4.3521096857502878E-4</v>
      </c>
      <c r="J54" s="3">
        <v>1.9664731373549035E-4</v>
      </c>
      <c r="K54" s="3">
        <v>2.9497097060323551E-4</v>
      </c>
      <c r="L54" s="3">
        <v>2</v>
      </c>
      <c r="M54" s="3"/>
      <c r="N54" s="5">
        <v>53</v>
      </c>
      <c r="O54" s="38"/>
      <c r="P54" s="36"/>
    </row>
    <row r="55" spans="1:16" s="34" customFormat="1" x14ac:dyDescent="0.35">
      <c r="A55" s="3" t="s">
        <v>175</v>
      </c>
      <c r="B55" s="3" t="s">
        <v>75</v>
      </c>
      <c r="C55" s="3" t="s">
        <v>438</v>
      </c>
      <c r="D55" s="3"/>
      <c r="E55" s="3"/>
      <c r="F55" s="3"/>
      <c r="G55" s="4">
        <v>42.71</v>
      </c>
      <c r="H55" s="17">
        <v>9.5176484597635648E-4</v>
      </c>
      <c r="I55" s="17">
        <v>9.5176484597635648E-4</v>
      </c>
      <c r="J55" s="3">
        <v>7.6141187678108527E-4</v>
      </c>
      <c r="K55" s="3">
        <v>1.1421178151716277E-3</v>
      </c>
      <c r="L55" s="3">
        <v>2</v>
      </c>
      <c r="M55" s="3"/>
      <c r="N55" s="5">
        <v>54</v>
      </c>
      <c r="O55" s="38"/>
      <c r="P55" s="36"/>
    </row>
    <row r="56" spans="1:16" s="34" customFormat="1" x14ac:dyDescent="0.35">
      <c r="A56" s="3" t="s">
        <v>176</v>
      </c>
      <c r="B56" s="3" t="s">
        <v>74</v>
      </c>
      <c r="C56" s="3" t="s">
        <v>72</v>
      </c>
      <c r="D56" s="3"/>
      <c r="E56" s="3"/>
      <c r="F56" s="3"/>
      <c r="G56" s="4">
        <v>7.2200000000000006</v>
      </c>
      <c r="H56" s="17">
        <v>1.60865623773091E-3</v>
      </c>
      <c r="I56" s="17">
        <v>1.60865623773091E-3</v>
      </c>
      <c r="J56" s="3">
        <v>6.4504232587918233E-4</v>
      </c>
      <c r="K56" s="3">
        <v>3.21731247546182E-3</v>
      </c>
      <c r="L56" s="3">
        <v>2</v>
      </c>
      <c r="M56" s="3"/>
      <c r="N56" s="5">
        <v>55</v>
      </c>
      <c r="O56" s="38"/>
      <c r="P56" s="36"/>
    </row>
    <row r="57" spans="1:16" s="34" customFormat="1" x14ac:dyDescent="0.35">
      <c r="A57" s="3" t="s">
        <v>177</v>
      </c>
      <c r="B57" s="3" t="s">
        <v>76</v>
      </c>
      <c r="C57" s="3" t="s">
        <v>73</v>
      </c>
      <c r="D57" s="3">
        <v>30.25</v>
      </c>
      <c r="E57" s="3">
        <v>30.25</v>
      </c>
      <c r="F57" s="3">
        <v>30.25</v>
      </c>
      <c r="G57" s="4">
        <v>30.25</v>
      </c>
      <c r="H57" s="17">
        <v>1.613281620269818E-3</v>
      </c>
      <c r="I57" s="17">
        <v>1.613281620269818E-3</v>
      </c>
      <c r="J57" s="3">
        <v>9.8072646246803686E-4</v>
      </c>
      <c r="K57" s="3">
        <v>1.4710896937020551E-3</v>
      </c>
      <c r="L57" s="3">
        <v>2</v>
      </c>
      <c r="M57" s="3"/>
      <c r="N57" s="5">
        <v>56</v>
      </c>
      <c r="O57" s="38"/>
      <c r="P57" s="36"/>
    </row>
    <row r="58" spans="1:16" s="34" customFormat="1" x14ac:dyDescent="0.35">
      <c r="A58" s="3" t="s">
        <v>178</v>
      </c>
      <c r="B58" s="3" t="s">
        <v>78</v>
      </c>
      <c r="C58" s="3" t="s">
        <v>75</v>
      </c>
      <c r="D58" s="3">
        <v>7.87</v>
      </c>
      <c r="E58" s="3">
        <v>7.87</v>
      </c>
      <c r="F58" s="3">
        <v>7.87</v>
      </c>
      <c r="G58" s="4">
        <v>7.87</v>
      </c>
      <c r="H58" s="17">
        <v>2.403041847809294E-3</v>
      </c>
      <c r="I58" s="17">
        <v>2.403041847809294E-3</v>
      </c>
      <c r="J58" s="3">
        <v>2.4925640128010754E-3</v>
      </c>
      <c r="K58" s="3">
        <v>3.7388460192016131E-3</v>
      </c>
      <c r="L58" s="3">
        <v>2</v>
      </c>
      <c r="M58" s="3"/>
      <c r="N58" s="5">
        <v>57</v>
      </c>
      <c r="O58" s="38"/>
      <c r="P58" s="36"/>
    </row>
    <row r="59" spans="1:16" s="34" customFormat="1" x14ac:dyDescent="0.35">
      <c r="A59" s="3" t="s">
        <v>179</v>
      </c>
      <c r="B59" s="3" t="s">
        <v>79</v>
      </c>
      <c r="C59" s="3" t="s">
        <v>439</v>
      </c>
      <c r="D59" s="3">
        <v>26.45</v>
      </c>
      <c r="E59" s="3">
        <v>26.45</v>
      </c>
      <c r="F59" s="3">
        <v>26.45</v>
      </c>
      <c r="G59" s="4">
        <v>26.45</v>
      </c>
      <c r="H59" s="17">
        <v>7.6624919584299513E-4</v>
      </c>
      <c r="I59" s="17">
        <v>7.6624919584299513E-4</v>
      </c>
      <c r="J59" s="3">
        <v>1.8925091420474928E-3</v>
      </c>
      <c r="K59" s="3">
        <v>2.838763713071239E-3</v>
      </c>
      <c r="L59" s="3">
        <v>2</v>
      </c>
      <c r="M59" s="3"/>
      <c r="N59" s="5">
        <v>58</v>
      </c>
      <c r="O59" s="38"/>
      <c r="P59" s="36"/>
    </row>
    <row r="60" spans="1:16" s="34" customFormat="1" x14ac:dyDescent="0.35">
      <c r="A60" s="3" t="s">
        <v>180</v>
      </c>
      <c r="B60" s="3" t="s">
        <v>77</v>
      </c>
      <c r="C60" s="3" t="s">
        <v>440</v>
      </c>
      <c r="D60" s="3"/>
      <c r="E60" s="3"/>
      <c r="F60" s="3"/>
      <c r="G60" s="4">
        <v>16.2</v>
      </c>
      <c r="H60" s="17">
        <v>1.3179698572989491E-3</v>
      </c>
      <c r="I60" s="17">
        <v>1.3179698572989491E-3</v>
      </c>
      <c r="J60" s="3">
        <f>I60*0.1</f>
        <v>1.3179698572989492E-4</v>
      </c>
      <c r="K60" s="3">
        <f>I60*10</f>
        <v>1.3179698572989491E-2</v>
      </c>
      <c r="L60" s="3">
        <v>2</v>
      </c>
      <c r="M60" s="3"/>
      <c r="N60" s="5">
        <v>59</v>
      </c>
      <c r="O60" s="38"/>
      <c r="P60" s="36"/>
    </row>
    <row r="61" spans="1:16" s="34" customFormat="1" x14ac:dyDescent="0.35">
      <c r="A61" s="3" t="s">
        <v>181</v>
      </c>
      <c r="B61" s="3" t="s">
        <v>81</v>
      </c>
      <c r="C61" s="3" t="s">
        <v>441</v>
      </c>
      <c r="D61" s="3"/>
      <c r="E61" s="3"/>
      <c r="F61" s="3"/>
      <c r="G61" s="4">
        <v>0.1</v>
      </c>
      <c r="H61" s="17">
        <v>1.914555145776251E-3</v>
      </c>
      <c r="I61" s="17">
        <v>1.914555145776251E-3</v>
      </c>
      <c r="J61" s="3">
        <v>1.506238312821661E-3</v>
      </c>
      <c r="K61" s="3">
        <v>2.259357469232491E-3</v>
      </c>
      <c r="L61" s="3">
        <v>2</v>
      </c>
      <c r="M61" s="3"/>
      <c r="N61" s="5">
        <v>60</v>
      </c>
      <c r="O61" s="38"/>
      <c r="P61" s="36"/>
    </row>
    <row r="62" spans="1:16" s="34" customFormat="1" x14ac:dyDescent="0.35">
      <c r="A62" s="3" t="s">
        <v>183</v>
      </c>
      <c r="B62" s="3" t="s">
        <v>85</v>
      </c>
      <c r="C62" s="3" t="s">
        <v>84</v>
      </c>
      <c r="D62" s="3"/>
      <c r="E62" s="3"/>
      <c r="F62" s="3"/>
      <c r="G62" s="4">
        <v>0.1</v>
      </c>
      <c r="H62" s="17">
        <v>1.996610280893091E-4</v>
      </c>
      <c r="I62" s="17">
        <v>1.996610280893091E-4</v>
      </c>
      <c r="J62" s="3">
        <f>I62*0.1</f>
        <v>1.9966102808930912E-5</v>
      </c>
      <c r="K62" s="3">
        <f>I62*10</f>
        <v>1.9966102808930911E-3</v>
      </c>
      <c r="L62" s="3">
        <v>2</v>
      </c>
      <c r="M62" s="3"/>
      <c r="N62" s="5">
        <v>61</v>
      </c>
      <c r="O62" s="38"/>
      <c r="P62" s="36"/>
    </row>
    <row r="63" spans="1:16" s="34" customFormat="1" x14ac:dyDescent="0.35">
      <c r="A63" s="3" t="s">
        <v>184</v>
      </c>
      <c r="B63" s="3" t="s">
        <v>84</v>
      </c>
      <c r="C63" s="3" t="s">
        <v>80</v>
      </c>
      <c r="D63" s="3"/>
      <c r="E63" s="3"/>
      <c r="F63" s="3"/>
      <c r="G63" s="4">
        <v>115.9699999999998</v>
      </c>
      <c r="H63" s="17">
        <v>1.5468448896718519E-3</v>
      </c>
      <c r="I63" s="17">
        <v>1.5468448896718519E-3</v>
      </c>
      <c r="J63" s="3">
        <v>2.1302998335054392E-4</v>
      </c>
      <c r="K63" s="3">
        <v>3.1954497502581584E-4</v>
      </c>
      <c r="L63" s="3">
        <v>2</v>
      </c>
      <c r="M63" s="3"/>
      <c r="N63" s="5">
        <v>62</v>
      </c>
      <c r="O63" s="38"/>
      <c r="P63" s="36"/>
    </row>
    <row r="64" spans="1:16" s="34" customFormat="1" x14ac:dyDescent="0.35">
      <c r="A64" s="3" t="s">
        <v>185</v>
      </c>
      <c r="B64" s="3" t="s">
        <v>83</v>
      </c>
      <c r="C64" s="3" t="s">
        <v>87</v>
      </c>
      <c r="D64" s="3"/>
      <c r="E64" s="3"/>
      <c r="F64" s="3"/>
      <c r="G64" s="4">
        <v>14.98</v>
      </c>
      <c r="H64" s="17">
        <v>7.8841253046725915E-3</v>
      </c>
      <c r="I64" s="17">
        <v>7.8841253046725915E-3</v>
      </c>
      <c r="J64" s="3">
        <v>6.3073002437380732E-3</v>
      </c>
      <c r="K64" s="3">
        <v>9.4609503656071098E-3</v>
      </c>
      <c r="L64" s="3">
        <v>2</v>
      </c>
      <c r="M64" s="3"/>
      <c r="N64" s="5">
        <v>63</v>
      </c>
      <c r="O64" s="38"/>
      <c r="P64" s="36"/>
    </row>
    <row r="65" spans="1:16" s="34" customFormat="1" x14ac:dyDescent="0.35">
      <c r="A65" s="3" t="s">
        <v>186</v>
      </c>
      <c r="B65" s="3" t="s">
        <v>86</v>
      </c>
      <c r="C65" s="3" t="s">
        <v>83</v>
      </c>
      <c r="D65" s="3"/>
      <c r="E65" s="3"/>
      <c r="F65" s="3"/>
      <c r="G65" s="4">
        <v>0.1</v>
      </c>
      <c r="H65" s="17">
        <v>3.1155602921958169E-3</v>
      </c>
      <c r="I65" s="17">
        <v>3.1155602921958169E-3</v>
      </c>
      <c r="J65" s="3">
        <v>2.4924482337566538E-3</v>
      </c>
      <c r="K65" s="3">
        <v>3.73867235063498E-3</v>
      </c>
      <c r="L65" s="3">
        <v>2</v>
      </c>
      <c r="M65" s="3"/>
      <c r="N65" s="5">
        <v>64</v>
      </c>
      <c r="O65" s="38"/>
      <c r="P65" s="36"/>
    </row>
    <row r="66" spans="1:16" s="34" customFormat="1" x14ac:dyDescent="0.35">
      <c r="A66" s="3" t="s">
        <v>187</v>
      </c>
      <c r="B66" s="3" t="s">
        <v>87</v>
      </c>
      <c r="C66" s="3" t="s">
        <v>29</v>
      </c>
      <c r="D66" s="3"/>
      <c r="E66" s="3"/>
      <c r="F66" s="3"/>
      <c r="G66" s="4">
        <v>285.20999999999998</v>
      </c>
      <c r="H66" s="17">
        <v>6.3116499548039064E-4</v>
      </c>
      <c r="I66" s="17">
        <v>6.3116499548039064E-4</v>
      </c>
      <c r="J66" s="3">
        <v>9.913341924626313E-4</v>
      </c>
      <c r="K66" s="3">
        <v>1.4870012886939467E-3</v>
      </c>
      <c r="L66" s="3">
        <v>2</v>
      </c>
      <c r="M66" s="3"/>
      <c r="N66" s="5">
        <v>65</v>
      </c>
      <c r="O66" s="38"/>
      <c r="P66" s="36"/>
    </row>
    <row r="67" spans="1:16" s="34" customFormat="1" x14ac:dyDescent="0.35">
      <c r="A67" s="3" t="s">
        <v>188</v>
      </c>
      <c r="B67" s="3" t="s">
        <v>423</v>
      </c>
      <c r="C67" s="3" t="s">
        <v>442</v>
      </c>
      <c r="D67" s="3"/>
      <c r="E67" s="3"/>
      <c r="F67" s="3"/>
      <c r="G67" s="4">
        <v>223.02</v>
      </c>
      <c r="H67" s="17">
        <v>2.8648964860379252E-3</v>
      </c>
      <c r="I67" s="17">
        <v>2.8648964860379252E-3</v>
      </c>
      <c r="J67" s="3">
        <v>4.5091197654815894E-3</v>
      </c>
      <c r="K67" s="3">
        <v>6.7636796482223845E-3</v>
      </c>
      <c r="L67" s="3">
        <v>2</v>
      </c>
      <c r="M67" s="3"/>
      <c r="N67" s="5">
        <v>66</v>
      </c>
      <c r="O67" s="38"/>
      <c r="P67" s="36"/>
    </row>
    <row r="68" spans="1:16" s="34" customFormat="1" x14ac:dyDescent="0.35">
      <c r="A68" s="7" t="s">
        <v>189</v>
      </c>
      <c r="B68" s="7" t="s">
        <v>88</v>
      </c>
      <c r="C68" s="7" t="s">
        <v>96</v>
      </c>
      <c r="D68" s="7"/>
      <c r="E68" s="7"/>
      <c r="F68" s="7"/>
      <c r="G68" s="11">
        <v>11.1</v>
      </c>
      <c r="H68" s="9">
        <v>12</v>
      </c>
      <c r="I68" s="22">
        <v>7.2492791274258843E-4</v>
      </c>
      <c r="J68" s="7">
        <v>4.2476206779137485E-5</v>
      </c>
      <c r="K68" s="7">
        <v>0.05</v>
      </c>
      <c r="L68" s="7">
        <v>2</v>
      </c>
      <c r="M68" s="7"/>
      <c r="N68" s="8">
        <v>67</v>
      </c>
      <c r="O68" s="38"/>
      <c r="P68" s="36"/>
    </row>
    <row r="69" spans="1:16" s="34" customFormat="1" x14ac:dyDescent="0.35">
      <c r="A69" s="3" t="s">
        <v>190</v>
      </c>
      <c r="B69" s="3" t="s">
        <v>82</v>
      </c>
      <c r="C69" s="3" t="s">
        <v>443</v>
      </c>
      <c r="D69" s="3">
        <v>38.44</v>
      </c>
      <c r="E69" s="3">
        <v>38.44</v>
      </c>
      <c r="F69" s="3">
        <v>38.44</v>
      </c>
      <c r="G69" s="4">
        <v>38.44</v>
      </c>
      <c r="H69" s="17">
        <v>3.8482618544743812E-4</v>
      </c>
      <c r="I69" s="17">
        <v>3.8482618544743812E-4</v>
      </c>
      <c r="J69" s="3">
        <v>2.6999752890817812E-4</v>
      </c>
      <c r="K69" s="3">
        <v>4.0499629336226712E-4</v>
      </c>
      <c r="L69" s="3">
        <v>2</v>
      </c>
      <c r="M69" s="3"/>
      <c r="N69" s="5">
        <v>68</v>
      </c>
      <c r="O69" s="38"/>
      <c r="P69" s="36"/>
    </row>
    <row r="70" spans="1:16" s="34" customFormat="1" x14ac:dyDescent="0.35">
      <c r="A70" s="3" t="s">
        <v>191</v>
      </c>
      <c r="B70" s="3" t="s">
        <v>443</v>
      </c>
      <c r="C70" s="3" t="s">
        <v>89</v>
      </c>
      <c r="D70" s="3"/>
      <c r="E70" s="3"/>
      <c r="F70" s="3"/>
      <c r="G70" s="4">
        <v>34.640000000000008</v>
      </c>
      <c r="H70" s="17">
        <v>5.6205772100481343E-5</v>
      </c>
      <c r="I70" s="17">
        <v>5.6205772100481343E-5</v>
      </c>
      <c r="J70" s="3">
        <v>5.6402862451983873E-5</v>
      </c>
      <c r="K70" s="3">
        <v>8.4604293677975796E-5</v>
      </c>
      <c r="L70" s="3">
        <v>2</v>
      </c>
      <c r="M70" s="3"/>
      <c r="N70" s="5">
        <v>69</v>
      </c>
      <c r="O70" s="38"/>
      <c r="P70" s="36"/>
    </row>
    <row r="71" spans="1:16" s="34" customFormat="1" x14ac:dyDescent="0.35">
      <c r="A71" s="3" t="s">
        <v>192</v>
      </c>
      <c r="B71" s="3" t="s">
        <v>92</v>
      </c>
      <c r="C71" s="3" t="s">
        <v>91</v>
      </c>
      <c r="D71" s="3">
        <v>20.079999999999998</v>
      </c>
      <c r="E71" s="3">
        <v>20.079999999999998</v>
      </c>
      <c r="F71" s="3">
        <v>20.079999999999998</v>
      </c>
      <c r="G71" s="4">
        <v>20.079999999999998</v>
      </c>
      <c r="H71" s="17">
        <v>2.5168475873974682E-4</v>
      </c>
      <c r="I71" s="17">
        <v>2.5168475873974682E-4</v>
      </c>
      <c r="J71" s="3">
        <f>I71*0.1</f>
        <v>2.5168475873974683E-5</v>
      </c>
      <c r="K71" s="3">
        <f>I71*10</f>
        <v>2.5168475873974683E-3</v>
      </c>
      <c r="L71" s="3">
        <v>2</v>
      </c>
      <c r="M71" s="3"/>
      <c r="N71" s="5">
        <v>70</v>
      </c>
      <c r="O71" s="38"/>
      <c r="P71" s="36"/>
    </row>
    <row r="72" spans="1:16" s="34" customFormat="1" x14ac:dyDescent="0.35">
      <c r="A72" s="3" t="s">
        <v>193</v>
      </c>
      <c r="B72" s="3" t="s">
        <v>93</v>
      </c>
      <c r="C72" s="3" t="s">
        <v>90</v>
      </c>
      <c r="D72" s="3">
        <v>15.06</v>
      </c>
      <c r="E72" s="3">
        <v>15.06</v>
      </c>
      <c r="F72" s="3">
        <v>15.06</v>
      </c>
      <c r="G72" s="4">
        <v>15.06</v>
      </c>
      <c r="H72" s="17">
        <v>2.7602411429641851E-4</v>
      </c>
      <c r="I72" s="17">
        <v>2.7602411429641851E-4</v>
      </c>
      <c r="J72" s="3">
        <v>1.9147085350800712E-4</v>
      </c>
      <c r="K72" s="3">
        <v>2.8720628026201068E-4</v>
      </c>
      <c r="L72" s="3">
        <v>2</v>
      </c>
      <c r="M72" s="3"/>
      <c r="N72" s="5">
        <v>71</v>
      </c>
      <c r="O72" s="38"/>
      <c r="P72" s="36"/>
    </row>
    <row r="73" spans="1:16" s="34" customFormat="1" x14ac:dyDescent="0.35">
      <c r="A73" s="3" t="s">
        <v>194</v>
      </c>
      <c r="B73" s="3" t="s">
        <v>96</v>
      </c>
      <c r="C73" s="3" t="s">
        <v>97</v>
      </c>
      <c r="D73" s="3"/>
      <c r="E73" s="3"/>
      <c r="F73" s="3"/>
      <c r="G73" s="4">
        <v>4.18</v>
      </c>
      <c r="H73" s="17">
        <v>5.2897335335449548E-4</v>
      </c>
      <c r="I73" s="17">
        <v>5.2897335335449548E-4</v>
      </c>
      <c r="J73" s="3">
        <v>4.014208296049855E-4</v>
      </c>
      <c r="K73" s="3">
        <v>6.021312444074782E-4</v>
      </c>
      <c r="L73" s="3">
        <v>2</v>
      </c>
      <c r="M73" s="3"/>
      <c r="N73" s="5">
        <v>72</v>
      </c>
      <c r="O73" s="38"/>
      <c r="P73" s="36"/>
    </row>
    <row r="74" spans="1:16" s="34" customFormat="1" x14ac:dyDescent="0.35">
      <c r="A74" s="3" t="s">
        <v>195</v>
      </c>
      <c r="B74" s="3" t="s">
        <v>97</v>
      </c>
      <c r="C74" s="3" t="s">
        <v>95</v>
      </c>
      <c r="D74" s="3"/>
      <c r="E74" s="3"/>
      <c r="F74" s="3"/>
      <c r="G74" s="4">
        <v>4.08</v>
      </c>
      <c r="H74" s="17">
        <v>4.5866052644033241E-4</v>
      </c>
      <c r="I74" s="17">
        <v>4.5866052644033241E-4</v>
      </c>
      <c r="J74" s="3">
        <f>I74*0.1</f>
        <v>4.5866052644033241E-5</v>
      </c>
      <c r="K74" s="3">
        <f>I74*10</f>
        <v>4.5866052644033244E-3</v>
      </c>
      <c r="L74" s="3">
        <v>2</v>
      </c>
      <c r="M74" s="3"/>
      <c r="N74" s="5">
        <v>73</v>
      </c>
      <c r="O74" s="38"/>
      <c r="P74" s="36"/>
    </row>
    <row r="75" spans="1:16" s="34" customFormat="1" x14ac:dyDescent="0.35">
      <c r="A75" s="3" t="s">
        <v>196</v>
      </c>
      <c r="B75" s="3" t="s">
        <v>95</v>
      </c>
      <c r="C75" s="3" t="s">
        <v>98</v>
      </c>
      <c r="D75" s="3"/>
      <c r="E75" s="3"/>
      <c r="F75" s="3"/>
      <c r="G75" s="4">
        <v>3.98</v>
      </c>
      <c r="H75" s="17">
        <v>3.0358765255566328E-4</v>
      </c>
      <c r="I75" s="17">
        <v>3.0358765255566328E-4</v>
      </c>
      <c r="J75" s="3">
        <f>I75*0.1</f>
        <v>3.0358765255566329E-5</v>
      </c>
      <c r="K75" s="3">
        <f>I75*10</f>
        <v>3.0358765255566328E-3</v>
      </c>
      <c r="L75" s="3">
        <v>2</v>
      </c>
      <c r="M75" s="3"/>
      <c r="N75" s="5">
        <v>74</v>
      </c>
      <c r="O75" s="38"/>
      <c r="P75" s="36"/>
    </row>
    <row r="76" spans="1:16" s="34" customFormat="1" x14ac:dyDescent="0.35">
      <c r="A76" s="3" t="s">
        <v>197</v>
      </c>
      <c r="B76" s="3" t="s">
        <v>99</v>
      </c>
      <c r="C76" s="3" t="s">
        <v>444</v>
      </c>
      <c r="D76" s="3"/>
      <c r="E76" s="3"/>
      <c r="F76" s="3"/>
      <c r="G76" s="4">
        <v>13.01</v>
      </c>
      <c r="H76" s="17">
        <v>5.0890705524490399E-4</v>
      </c>
      <c r="I76" s="17">
        <v>5.0890705524490399E-4</v>
      </c>
      <c r="J76" s="3">
        <f>I76*0.1</f>
        <v>5.0890705524490401E-5</v>
      </c>
      <c r="K76" s="3">
        <f>I76*10</f>
        <v>5.0890705524490399E-3</v>
      </c>
      <c r="L76" s="3">
        <v>2</v>
      </c>
      <c r="M76" s="3"/>
      <c r="N76" s="5">
        <v>75</v>
      </c>
      <c r="O76" s="38"/>
      <c r="P76" s="36"/>
    </row>
    <row r="77" spans="1:16" s="34" customFormat="1" x14ac:dyDescent="0.35">
      <c r="A77" s="3" t="s">
        <v>198</v>
      </c>
      <c r="B77" s="3" t="s">
        <v>101</v>
      </c>
      <c r="C77" s="3" t="s">
        <v>102</v>
      </c>
      <c r="D77" s="3">
        <v>4.3600000000000003</v>
      </c>
      <c r="E77" s="3">
        <v>4.3600000000000003</v>
      </c>
      <c r="F77" s="3">
        <v>4.3600000000000003</v>
      </c>
      <c r="G77" s="4">
        <v>4.3600000000000003</v>
      </c>
      <c r="H77" s="17">
        <v>2.9973098553636689E-3</v>
      </c>
      <c r="I77" s="17">
        <v>2.9973098553636689E-3</v>
      </c>
      <c r="J77" s="3">
        <v>2.3978478842909354E-3</v>
      </c>
      <c r="K77" s="3">
        <v>3.5967718264364023E-3</v>
      </c>
      <c r="L77" s="3">
        <v>2</v>
      </c>
      <c r="M77" s="3"/>
      <c r="N77" s="5">
        <v>76</v>
      </c>
      <c r="O77" s="38"/>
      <c r="P77" s="36"/>
    </row>
    <row r="78" spans="1:16" s="34" customFormat="1" x14ac:dyDescent="0.35">
      <c r="A78" s="3" t="s">
        <v>199</v>
      </c>
      <c r="B78" s="3" t="s">
        <v>103</v>
      </c>
      <c r="C78" s="3" t="s">
        <v>101</v>
      </c>
      <c r="D78" s="3"/>
      <c r="E78" s="3"/>
      <c r="F78" s="3"/>
      <c r="G78" s="4">
        <v>14.44</v>
      </c>
      <c r="H78" s="17">
        <v>3.611903187730798E-3</v>
      </c>
      <c r="I78" s="17">
        <v>3.611903187730798E-3</v>
      </c>
      <c r="J78" s="3">
        <v>3.4487664517488729E-3</v>
      </c>
      <c r="K78" s="3">
        <v>5.1731496776233092E-3</v>
      </c>
      <c r="L78" s="3">
        <v>2</v>
      </c>
      <c r="M78" s="3"/>
      <c r="N78" s="5">
        <v>77</v>
      </c>
      <c r="O78" s="38"/>
      <c r="P78" s="36"/>
    </row>
    <row r="79" spans="1:16" s="34" customFormat="1" x14ac:dyDescent="0.35">
      <c r="A79" s="3" t="s">
        <v>200</v>
      </c>
      <c r="B79" s="3" t="s">
        <v>445</v>
      </c>
      <c r="C79" s="3" t="s">
        <v>103</v>
      </c>
      <c r="D79" s="3"/>
      <c r="E79" s="3"/>
      <c r="F79" s="3"/>
      <c r="G79" s="4">
        <v>14.34</v>
      </c>
      <c r="H79" s="17">
        <v>1.9433084961820359E-3</v>
      </c>
      <c r="I79" s="17">
        <v>1.9433084961820359E-3</v>
      </c>
      <c r="J79" s="3">
        <v>8.1004500289250331E-4</v>
      </c>
      <c r="K79" s="3">
        <v>1.2150675043387548E-3</v>
      </c>
      <c r="L79" s="3">
        <v>2</v>
      </c>
      <c r="M79" s="3"/>
      <c r="N79" s="5">
        <v>78</v>
      </c>
      <c r="O79" s="38"/>
      <c r="P79" s="36"/>
    </row>
    <row r="80" spans="1:16" s="34" customFormat="1" x14ac:dyDescent="0.35">
      <c r="A80" s="3" t="s">
        <v>201</v>
      </c>
      <c r="B80" s="3" t="s">
        <v>445</v>
      </c>
      <c r="C80" s="3" t="s">
        <v>446</v>
      </c>
      <c r="D80" s="3">
        <v>19.04</v>
      </c>
      <c r="E80" s="3">
        <v>19.04</v>
      </c>
      <c r="F80" s="3">
        <v>19.04</v>
      </c>
      <c r="G80" s="4">
        <v>19.04</v>
      </c>
      <c r="H80" s="17">
        <v>3.2775690584327258E-3</v>
      </c>
      <c r="I80" s="17">
        <v>3.2775690584327258E-3</v>
      </c>
      <c r="J80" s="3">
        <f>I80*0.1</f>
        <v>3.2775690584327258E-4</v>
      </c>
      <c r="K80" s="3">
        <f>I80*10</f>
        <v>3.2775690584327256E-2</v>
      </c>
      <c r="L80" s="3">
        <v>2</v>
      </c>
      <c r="M80" s="3"/>
      <c r="N80" s="5">
        <v>79</v>
      </c>
      <c r="O80" s="38"/>
      <c r="P80" s="36"/>
    </row>
    <row r="81" spans="1:16" s="34" customFormat="1" x14ac:dyDescent="0.35">
      <c r="A81" s="3" t="s">
        <v>202</v>
      </c>
      <c r="B81" s="3" t="s">
        <v>447</v>
      </c>
      <c r="C81" s="3" t="s">
        <v>445</v>
      </c>
      <c r="D81" s="3"/>
      <c r="E81" s="3"/>
      <c r="F81" s="3"/>
      <c r="G81" s="4">
        <v>33.380000000000003</v>
      </c>
      <c r="H81" s="17">
        <v>6.4089899041489776E-4</v>
      </c>
      <c r="I81" s="17">
        <v>6.4089899041489776E-4</v>
      </c>
      <c r="J81" s="3">
        <v>1.0235128319791727E-3</v>
      </c>
      <c r="K81" s="3">
        <v>1.5352692479687592E-3</v>
      </c>
      <c r="L81" s="3">
        <v>2</v>
      </c>
      <c r="M81" s="3"/>
      <c r="N81" s="5">
        <v>80</v>
      </c>
      <c r="O81" s="38"/>
      <c r="P81" s="36"/>
    </row>
    <row r="82" spans="1:16" s="34" customFormat="1" x14ac:dyDescent="0.35">
      <c r="A82" s="3" t="s">
        <v>203</v>
      </c>
      <c r="B82" s="3" t="s">
        <v>104</v>
      </c>
      <c r="C82" s="3" t="s">
        <v>447</v>
      </c>
      <c r="D82" s="3">
        <v>11.1</v>
      </c>
      <c r="E82" s="3">
        <v>11.1</v>
      </c>
      <c r="F82" s="3">
        <v>11.1</v>
      </c>
      <c r="G82" s="4">
        <v>11.1</v>
      </c>
      <c r="H82" s="17">
        <v>4.9412118346620071E-3</v>
      </c>
      <c r="I82" s="17">
        <v>4.9412118346620071E-3</v>
      </c>
      <c r="J82" s="3">
        <v>2.1430661797691131E-3</v>
      </c>
      <c r="K82" s="3">
        <v>3.214599269653669E-3</v>
      </c>
      <c r="L82" s="3">
        <v>2</v>
      </c>
      <c r="M82" s="3"/>
      <c r="N82" s="5">
        <v>81</v>
      </c>
      <c r="O82" s="38"/>
      <c r="P82" s="36"/>
    </row>
    <row r="83" spans="1:16" s="34" customFormat="1" x14ac:dyDescent="0.35">
      <c r="A83" s="3" t="s">
        <v>204</v>
      </c>
      <c r="B83" s="3" t="s">
        <v>104</v>
      </c>
      <c r="C83" s="3" t="s">
        <v>448</v>
      </c>
      <c r="D83" s="3"/>
      <c r="E83" s="3"/>
      <c r="F83" s="3"/>
      <c r="G83" s="4">
        <v>4.7</v>
      </c>
      <c r="H83" s="17">
        <v>1.0963081163935151E-3</v>
      </c>
      <c r="I83" s="17">
        <v>1.0963081163935151E-3</v>
      </c>
      <c r="J83" s="3">
        <v>1.460929223587833E-4</v>
      </c>
      <c r="K83" s="3">
        <v>2.1913938353817491E-4</v>
      </c>
      <c r="L83" s="3">
        <v>2</v>
      </c>
      <c r="M83" s="3"/>
      <c r="N83" s="5">
        <v>82</v>
      </c>
      <c r="O83" s="38"/>
      <c r="P83" s="36"/>
    </row>
    <row r="84" spans="1:16" s="34" customFormat="1" x14ac:dyDescent="0.35">
      <c r="A84" s="3" t="s">
        <v>205</v>
      </c>
      <c r="B84" s="3" t="s">
        <v>106</v>
      </c>
      <c r="C84" s="3" t="s">
        <v>256</v>
      </c>
      <c r="D84" s="3"/>
      <c r="E84" s="3"/>
      <c r="F84" s="3"/>
      <c r="G84" s="4">
        <v>0.1</v>
      </c>
      <c r="H84" s="19">
        <v>5.6510233819667792E-3</v>
      </c>
      <c r="I84" s="19">
        <v>5.6510233819667792E-3</v>
      </c>
      <c r="J84" s="3">
        <v>4.5208187055734237E-3</v>
      </c>
      <c r="K84" s="3">
        <v>6.7812280583601347E-3</v>
      </c>
      <c r="L84" s="3">
        <v>2</v>
      </c>
      <c r="M84" s="3"/>
      <c r="N84" s="5">
        <v>83</v>
      </c>
      <c r="O84" s="38"/>
      <c r="P84" s="36"/>
    </row>
    <row r="85" spans="1:16" s="34" customFormat="1" x14ac:dyDescent="0.35">
      <c r="A85" s="3" t="s">
        <v>206</v>
      </c>
      <c r="B85" s="3" t="s">
        <v>108</v>
      </c>
      <c r="C85" s="3" t="s">
        <v>106</v>
      </c>
      <c r="D85" s="3"/>
      <c r="E85" s="3"/>
      <c r="F85" s="3"/>
      <c r="G85" s="4">
        <v>15.9</v>
      </c>
      <c r="H85" s="17">
        <v>7.9758245853326466E-4</v>
      </c>
      <c r="I85" s="17">
        <v>7.9758245853326466E-4</v>
      </c>
      <c r="J85" s="3">
        <f>I85*0.8</f>
        <v>6.3806596682661177E-4</v>
      </c>
      <c r="K85" s="3">
        <f>I85*1.2</f>
        <v>9.5709895023991754E-4</v>
      </c>
      <c r="L85" s="3">
        <v>2</v>
      </c>
      <c r="M85" s="3"/>
      <c r="N85" s="5">
        <v>84</v>
      </c>
      <c r="O85" s="38"/>
      <c r="P85" s="36"/>
    </row>
    <row r="86" spans="1:16" s="34" customFormat="1" x14ac:dyDescent="0.35">
      <c r="A86" s="3" t="s">
        <v>207</v>
      </c>
      <c r="B86" s="3" t="s">
        <v>107</v>
      </c>
      <c r="C86" s="3" t="s">
        <v>109</v>
      </c>
      <c r="D86" s="3">
        <v>9.2799999999999994</v>
      </c>
      <c r="E86" s="3">
        <v>9.2799999999999994</v>
      </c>
      <c r="F86" s="3">
        <v>9.2799999999999994</v>
      </c>
      <c r="G86" s="4">
        <v>9.2799999999999994</v>
      </c>
      <c r="H86" s="17">
        <v>2.2025175437769668E-3</v>
      </c>
      <c r="I86" s="17">
        <v>2.2025175437769668E-3</v>
      </c>
      <c r="J86" s="3">
        <v>8.9199715769552239E-4</v>
      </c>
      <c r="K86" s="3">
        <v>1.3379957365432834E-3</v>
      </c>
      <c r="L86" s="3">
        <v>2</v>
      </c>
      <c r="M86" s="3"/>
      <c r="N86" s="5">
        <v>85</v>
      </c>
      <c r="O86" s="38"/>
      <c r="P86" s="36"/>
    </row>
    <row r="87" spans="1:16" s="34" customFormat="1" x14ac:dyDescent="0.35">
      <c r="A87" s="3" t="s">
        <v>208</v>
      </c>
      <c r="B87" s="3" t="s">
        <v>112</v>
      </c>
      <c r="C87" s="3" t="s">
        <v>107</v>
      </c>
      <c r="D87" s="3">
        <v>5.96</v>
      </c>
      <c r="E87" s="3">
        <v>5.96</v>
      </c>
      <c r="F87" s="3">
        <v>5.96</v>
      </c>
      <c r="G87" s="4">
        <v>5.96</v>
      </c>
      <c r="H87" s="17">
        <v>4.2867299078345744E-3</v>
      </c>
      <c r="I87" s="17">
        <v>4.2867299078345744E-3</v>
      </c>
      <c r="J87" s="3">
        <v>1.9748720052782192E-3</v>
      </c>
      <c r="K87" s="3">
        <v>2.962308007917329E-3</v>
      </c>
      <c r="L87" s="3">
        <v>2</v>
      </c>
      <c r="M87" s="3"/>
      <c r="N87" s="5">
        <v>86</v>
      </c>
      <c r="O87" s="38"/>
      <c r="P87" s="36"/>
    </row>
    <row r="88" spans="1:16" s="34" customFormat="1" x14ac:dyDescent="0.35">
      <c r="A88" s="3" t="s">
        <v>209</v>
      </c>
      <c r="B88" s="3" t="s">
        <v>113</v>
      </c>
      <c r="C88" s="3" t="s">
        <v>112</v>
      </c>
      <c r="D88" s="3">
        <v>8.68</v>
      </c>
      <c r="E88" s="3">
        <v>8.68</v>
      </c>
      <c r="F88" s="3">
        <v>8.68</v>
      </c>
      <c r="G88" s="4">
        <v>8.68</v>
      </c>
      <c r="H88" s="17">
        <v>1.195914108036628E-3</v>
      </c>
      <c r="I88" s="17">
        <v>1.195914108036628E-3</v>
      </c>
      <c r="J88" s="3">
        <f>I88*0.1</f>
        <v>1.195914108036628E-4</v>
      </c>
      <c r="K88" s="3">
        <f>I88*10</f>
        <v>1.1959141080366279E-2</v>
      </c>
      <c r="L88" s="3">
        <v>2</v>
      </c>
      <c r="M88" s="3"/>
      <c r="N88" s="5">
        <v>87</v>
      </c>
      <c r="O88" s="38"/>
      <c r="P88" s="36"/>
    </row>
    <row r="89" spans="1:16" s="34" customFormat="1" x14ac:dyDescent="0.35">
      <c r="A89" s="3" t="s">
        <v>210</v>
      </c>
      <c r="B89" s="3" t="s">
        <v>115</v>
      </c>
      <c r="C89" s="3" t="s">
        <v>259</v>
      </c>
      <c r="D89" s="3"/>
      <c r="E89" s="3"/>
      <c r="F89" s="3"/>
      <c r="G89" s="4">
        <v>104.11999999999981</v>
      </c>
      <c r="H89" s="17">
        <v>8.6276940126574272E-3</v>
      </c>
      <c r="I89" s="17">
        <v>8.6276940126574272E-3</v>
      </c>
      <c r="J89" s="3">
        <f>I89*0.8</f>
        <v>6.9021552101259419E-3</v>
      </c>
      <c r="K89" s="3">
        <f>I89*1.2</f>
        <v>1.0353232815188912E-2</v>
      </c>
      <c r="L89" s="3">
        <v>2</v>
      </c>
      <c r="M89" s="3"/>
      <c r="N89" s="5">
        <v>88</v>
      </c>
      <c r="O89" s="38"/>
      <c r="P89" s="36"/>
    </row>
    <row r="90" spans="1:16" s="34" customFormat="1" x14ac:dyDescent="0.35">
      <c r="A90" s="3" t="s">
        <v>211</v>
      </c>
      <c r="B90" s="3" t="s">
        <v>116</v>
      </c>
      <c r="C90" s="3" t="s">
        <v>115</v>
      </c>
      <c r="D90" s="3"/>
      <c r="E90" s="3"/>
      <c r="F90" s="3"/>
      <c r="G90" s="4">
        <v>107.8299999999998</v>
      </c>
      <c r="H90" s="17">
        <v>6.3827539948916011E-3</v>
      </c>
      <c r="I90" s="17">
        <v>6.3827539948916011E-3</v>
      </c>
      <c r="J90" s="3">
        <f>I90*0.8</f>
        <v>5.1062031959132814E-3</v>
      </c>
      <c r="K90" s="3">
        <f>I90*1.2</f>
        <v>7.6593047938699208E-3</v>
      </c>
      <c r="L90" s="3">
        <v>2</v>
      </c>
      <c r="M90" s="3"/>
      <c r="N90" s="5">
        <v>89</v>
      </c>
      <c r="O90" s="38"/>
      <c r="P90" s="36"/>
    </row>
    <row r="91" spans="1:16" s="34" customFormat="1" x14ac:dyDescent="0.35">
      <c r="A91" s="3" t="s">
        <v>212</v>
      </c>
      <c r="B91" s="3" t="s">
        <v>117</v>
      </c>
      <c r="C91" s="3" t="s">
        <v>60</v>
      </c>
      <c r="D91" s="3"/>
      <c r="E91" s="3"/>
      <c r="F91" s="3"/>
      <c r="G91" s="4">
        <v>2.92</v>
      </c>
      <c r="H91" s="17">
        <v>2.2691358668160558E-3</v>
      </c>
      <c r="I91" s="17">
        <v>2.2691358668160558E-3</v>
      </c>
      <c r="J91" s="3">
        <v>1.0212399721212201E-3</v>
      </c>
      <c r="K91" s="3">
        <v>1.5318599581818299E-3</v>
      </c>
      <c r="L91" s="3">
        <v>2</v>
      </c>
      <c r="M91" s="3"/>
      <c r="N91" s="5">
        <v>90</v>
      </c>
      <c r="O91" s="38"/>
      <c r="P91" s="36"/>
    </row>
    <row r="92" spans="1:16" s="34" customFormat="1" x14ac:dyDescent="0.35">
      <c r="A92" s="3" t="s">
        <v>213</v>
      </c>
      <c r="B92" s="3" t="s">
        <v>119</v>
      </c>
      <c r="C92" s="3" t="s">
        <v>109</v>
      </c>
      <c r="D92" s="3"/>
      <c r="E92" s="3"/>
      <c r="F92" s="3"/>
      <c r="G92" s="4">
        <v>0.4</v>
      </c>
      <c r="H92" s="17">
        <v>3.95145883356513E-4</v>
      </c>
      <c r="I92" s="17">
        <v>3.95145883356513E-4</v>
      </c>
      <c r="J92" s="3">
        <v>3.1611670668521042E-4</v>
      </c>
      <c r="K92" s="3">
        <v>4.7417506002781558E-4</v>
      </c>
      <c r="L92" s="3">
        <v>2</v>
      </c>
      <c r="M92" s="3"/>
      <c r="N92" s="5">
        <v>91</v>
      </c>
      <c r="O92" s="38"/>
      <c r="P92" s="36"/>
    </row>
    <row r="93" spans="1:16" s="34" customFormat="1" x14ac:dyDescent="0.35">
      <c r="A93" s="3" t="s">
        <v>214</v>
      </c>
      <c r="B93" s="3" t="s">
        <v>120</v>
      </c>
      <c r="C93" s="3" t="s">
        <v>449</v>
      </c>
      <c r="D93" s="3"/>
      <c r="E93" s="3"/>
      <c r="F93" s="3"/>
      <c r="G93" s="4">
        <v>0.1</v>
      </c>
      <c r="H93" s="17">
        <v>4.9815777136476725E-4</v>
      </c>
      <c r="I93" s="17">
        <v>4.9815777136476725E-4</v>
      </c>
      <c r="J93" s="3">
        <f>I93*0.1</f>
        <v>4.9815777136476729E-5</v>
      </c>
      <c r="K93" s="3">
        <f>I93*10</f>
        <v>4.9815777136476723E-3</v>
      </c>
      <c r="L93" s="3">
        <v>2</v>
      </c>
      <c r="M93" s="3"/>
      <c r="N93" s="5">
        <v>92</v>
      </c>
      <c r="O93" s="38"/>
      <c r="P93" s="36"/>
    </row>
    <row r="94" spans="1:16" s="34" customFormat="1" ht="14.5" customHeight="1" x14ac:dyDescent="0.35">
      <c r="A94" s="3" t="s">
        <v>215</v>
      </c>
      <c r="B94" s="3" t="s">
        <v>121</v>
      </c>
      <c r="C94" s="3" t="s">
        <v>122</v>
      </c>
      <c r="D94" s="3"/>
      <c r="E94" s="3"/>
      <c r="F94" s="3"/>
      <c r="G94" s="4">
        <v>0.1</v>
      </c>
      <c r="H94" s="17">
        <v>4.8355102143430011E-4</v>
      </c>
      <c r="I94" s="17">
        <v>4.8355102143430011E-4</v>
      </c>
      <c r="J94" s="3">
        <v>1.3302706828664367E-3</v>
      </c>
      <c r="K94" s="3">
        <v>1.9954060242996551E-3</v>
      </c>
      <c r="L94" s="3">
        <v>2</v>
      </c>
      <c r="M94" s="3"/>
      <c r="N94" s="5">
        <v>93</v>
      </c>
      <c r="O94" s="38"/>
      <c r="P94" s="36"/>
    </row>
    <row r="95" spans="1:16" s="34" customFormat="1" x14ac:dyDescent="0.35">
      <c r="A95" s="3" t="s">
        <v>216</v>
      </c>
      <c r="B95" s="3" t="s">
        <v>450</v>
      </c>
      <c r="C95" s="3" t="s">
        <v>122</v>
      </c>
      <c r="D95" s="3"/>
      <c r="E95" s="3"/>
      <c r="F95" s="3"/>
      <c r="G95" s="4">
        <v>0.1</v>
      </c>
      <c r="H95" s="17">
        <v>6.3298503478788381E-4</v>
      </c>
      <c r="I95" s="17">
        <v>6.3298503478788381E-4</v>
      </c>
      <c r="J95" s="3">
        <v>5.0638802783030705E-4</v>
      </c>
      <c r="K95" s="3">
        <v>7.5958204174546057E-4</v>
      </c>
      <c r="L95" s="3">
        <v>2</v>
      </c>
      <c r="M95" s="3"/>
      <c r="N95" s="5">
        <v>94</v>
      </c>
      <c r="O95" s="38"/>
      <c r="P95" s="36"/>
    </row>
    <row r="96" spans="1:16" s="34" customFormat="1" x14ac:dyDescent="0.35">
      <c r="A96" s="3" t="s">
        <v>217</v>
      </c>
      <c r="B96" s="3" t="s">
        <v>451</v>
      </c>
      <c r="C96" s="3" t="s">
        <v>110</v>
      </c>
      <c r="D96" s="3"/>
      <c r="E96" s="3"/>
      <c r="F96" s="3"/>
      <c r="G96" s="4">
        <v>0.59999999999999953</v>
      </c>
      <c r="H96" s="17">
        <v>5.0052524789676121E-3</v>
      </c>
      <c r="I96" s="17">
        <v>5.0052524789676121E-3</v>
      </c>
      <c r="J96" s="3">
        <v>4.0042019831740897E-3</v>
      </c>
      <c r="K96" s="3">
        <v>6.0063029747611345E-3</v>
      </c>
      <c r="L96" s="3">
        <v>2</v>
      </c>
      <c r="M96" s="3"/>
      <c r="N96" s="5">
        <v>95</v>
      </c>
      <c r="O96" s="38"/>
      <c r="P96" s="36"/>
    </row>
    <row r="97" spans="1:16" s="34" customFormat="1" x14ac:dyDescent="0.35">
      <c r="A97" s="3" t="s">
        <v>218</v>
      </c>
      <c r="B97" s="3" t="s">
        <v>452</v>
      </c>
      <c r="C97" s="3" t="s">
        <v>451</v>
      </c>
      <c r="D97" s="3"/>
      <c r="E97" s="3"/>
      <c r="F97" s="3"/>
      <c r="G97" s="4">
        <v>0.99999999999999956</v>
      </c>
      <c r="H97" s="17">
        <v>5.8349466707839246E-3</v>
      </c>
      <c r="I97" s="17">
        <v>5.8349466707839246E-3</v>
      </c>
      <c r="J97" s="3">
        <v>4.6679573366271397E-3</v>
      </c>
      <c r="K97" s="3">
        <v>7.0019360049407096E-3</v>
      </c>
      <c r="L97" s="3">
        <v>2</v>
      </c>
      <c r="M97" s="3"/>
      <c r="N97" s="5">
        <v>96</v>
      </c>
      <c r="O97" s="38"/>
      <c r="P97" s="36"/>
    </row>
    <row r="98" spans="1:16" s="34" customFormat="1" x14ac:dyDescent="0.35">
      <c r="A98" s="3" t="s">
        <v>219</v>
      </c>
      <c r="B98" s="3" t="s">
        <v>453</v>
      </c>
      <c r="C98" s="3" t="s">
        <v>260</v>
      </c>
      <c r="D98" s="3"/>
      <c r="E98" s="3"/>
      <c r="F98" s="3"/>
      <c r="G98" s="4">
        <v>6.629999999999999</v>
      </c>
      <c r="H98" s="17">
        <v>8.5928365980172472E-4</v>
      </c>
      <c r="I98" s="17">
        <v>8.5928365980172472E-4</v>
      </c>
      <c r="J98" s="3">
        <v>3.5482521642538436E-4</v>
      </c>
      <c r="K98" s="3">
        <v>5.3223782463807643E-4</v>
      </c>
      <c r="L98" s="3">
        <v>2</v>
      </c>
      <c r="M98" s="3"/>
      <c r="N98" s="5">
        <v>97</v>
      </c>
      <c r="O98" s="38"/>
      <c r="P98" s="36"/>
    </row>
    <row r="99" spans="1:16" s="34" customFormat="1" x14ac:dyDescent="0.35">
      <c r="A99" s="3" t="s">
        <v>220</v>
      </c>
      <c r="B99" s="3" t="s">
        <v>259</v>
      </c>
      <c r="C99" s="3" t="s">
        <v>454</v>
      </c>
      <c r="D99" s="3">
        <v>1.61</v>
      </c>
      <c r="E99" s="3">
        <v>1.61</v>
      </c>
      <c r="F99" s="3">
        <v>1.61</v>
      </c>
      <c r="G99" s="4">
        <v>1.61</v>
      </c>
      <c r="H99" s="17">
        <v>1.8499086549886579E-2</v>
      </c>
      <c r="I99" s="17">
        <v>1.8499086549886579E-2</v>
      </c>
      <c r="J99" s="3">
        <v>1.4799269239909263E-2</v>
      </c>
      <c r="K99" s="3">
        <v>2.2198903859863894E-2</v>
      </c>
      <c r="L99" s="3">
        <v>2</v>
      </c>
      <c r="M99" s="3"/>
      <c r="N99" s="5">
        <v>98</v>
      </c>
      <c r="O99" s="38"/>
      <c r="P99" s="36"/>
    </row>
    <row r="100" spans="1:16" s="34" customFormat="1" x14ac:dyDescent="0.35">
      <c r="A100" s="3" t="s">
        <v>221</v>
      </c>
      <c r="B100" s="3" t="s">
        <v>260</v>
      </c>
      <c r="C100" s="3" t="s">
        <v>261</v>
      </c>
      <c r="D100" s="3"/>
      <c r="E100" s="3"/>
      <c r="F100" s="3"/>
      <c r="G100" s="4">
        <v>0.1</v>
      </c>
      <c r="H100" s="17">
        <v>3.2964078657917508E-4</v>
      </c>
      <c r="I100" s="17">
        <v>3.2964078657917508E-4</v>
      </c>
      <c r="J100" s="3">
        <v>1.7777295829800522E-4</v>
      </c>
      <c r="K100" s="3">
        <v>2.666594374470078E-4</v>
      </c>
      <c r="L100" s="3">
        <v>2</v>
      </c>
      <c r="M100" s="3"/>
      <c r="N100" s="5">
        <v>99</v>
      </c>
      <c r="O100" s="38"/>
      <c r="P100" s="36"/>
    </row>
    <row r="101" spans="1:16" s="34" customFormat="1" x14ac:dyDescent="0.35">
      <c r="A101" s="3" t="s">
        <v>222</v>
      </c>
      <c r="B101" s="3" t="s">
        <v>261</v>
      </c>
      <c r="C101" s="3" t="s">
        <v>262</v>
      </c>
      <c r="D101" s="3"/>
      <c r="E101" s="3"/>
      <c r="F101" s="3"/>
      <c r="G101" s="4">
        <v>3.81</v>
      </c>
      <c r="H101" s="17">
        <v>6.6196804456013052E-4</v>
      </c>
      <c r="I101" s="17">
        <v>6.6196804456013052E-4</v>
      </c>
      <c r="J101" s="3">
        <v>5.2957443564810439E-4</v>
      </c>
      <c r="K101" s="3">
        <v>7.9436165347215664E-4</v>
      </c>
      <c r="L101" s="3">
        <v>2</v>
      </c>
      <c r="M101" s="3"/>
      <c r="N101" s="5">
        <v>100</v>
      </c>
      <c r="O101" s="38"/>
      <c r="P101" s="36"/>
    </row>
    <row r="102" spans="1:16" s="34" customFormat="1" x14ac:dyDescent="0.35">
      <c r="A102" s="3" t="s">
        <v>223</v>
      </c>
      <c r="B102" s="3" t="s">
        <v>262</v>
      </c>
      <c r="C102" s="3" t="s">
        <v>263</v>
      </c>
      <c r="D102" s="3"/>
      <c r="E102" s="3"/>
      <c r="F102" s="3"/>
      <c r="G102" s="4">
        <v>2.79</v>
      </c>
      <c r="H102" s="17">
        <v>2.9910170740470092E-4</v>
      </c>
      <c r="I102" s="17">
        <v>2.9910170740470092E-4</v>
      </c>
      <c r="J102" s="3">
        <v>2.3928136592376074E-4</v>
      </c>
      <c r="K102" s="3">
        <v>3.589220488856411E-4</v>
      </c>
      <c r="L102" s="3">
        <v>2</v>
      </c>
      <c r="M102" s="3"/>
      <c r="N102" s="5">
        <v>101</v>
      </c>
      <c r="O102" s="38"/>
      <c r="P102" s="36"/>
    </row>
    <row r="103" spans="1:16" s="34" customFormat="1" x14ac:dyDescent="0.35">
      <c r="A103" s="3" t="s">
        <v>224</v>
      </c>
      <c r="B103" s="3" t="s">
        <v>263</v>
      </c>
      <c r="C103" s="3" t="s">
        <v>265</v>
      </c>
      <c r="D103" s="3"/>
      <c r="E103" s="3"/>
      <c r="F103" s="3"/>
      <c r="G103" s="4">
        <v>3.75</v>
      </c>
      <c r="H103" s="17">
        <v>5.2110500865830596E-4</v>
      </c>
      <c r="I103" s="17">
        <v>5.2110500865830596E-4</v>
      </c>
      <c r="J103" s="3">
        <v>2.6055250432915298E-4</v>
      </c>
      <c r="K103" s="3">
        <v>1.5370983452866126E-3</v>
      </c>
      <c r="L103" s="3">
        <v>2</v>
      </c>
      <c r="M103" s="3"/>
      <c r="N103" s="5">
        <v>102</v>
      </c>
      <c r="O103" s="38"/>
      <c r="P103" s="36"/>
    </row>
    <row r="104" spans="1:16" s="34" customFormat="1" x14ac:dyDescent="0.35">
      <c r="A104" s="3" t="s">
        <v>225</v>
      </c>
      <c r="B104" s="3" t="s">
        <v>455</v>
      </c>
      <c r="C104" s="3" t="s">
        <v>116</v>
      </c>
      <c r="D104" s="3"/>
      <c r="E104" s="3"/>
      <c r="F104" s="3"/>
      <c r="G104" s="4">
        <v>2.98</v>
      </c>
      <c r="H104" s="17">
        <v>1.730314146210991E-3</v>
      </c>
      <c r="I104" s="17">
        <v>1.730314146210991E-3</v>
      </c>
      <c r="J104" s="3">
        <v>1.9420802204275689E-3</v>
      </c>
      <c r="K104" s="3">
        <v>2.9131203306413532E-3</v>
      </c>
      <c r="L104" s="3">
        <v>2</v>
      </c>
      <c r="M104" s="3"/>
      <c r="N104" s="5">
        <v>103</v>
      </c>
      <c r="O104" s="38"/>
      <c r="P104" s="36"/>
    </row>
    <row r="105" spans="1:16" s="34" customFormat="1" x14ac:dyDescent="0.35">
      <c r="A105" s="3" t="s">
        <v>226</v>
      </c>
      <c r="B105" s="3" t="s">
        <v>265</v>
      </c>
      <c r="C105" s="3" t="s">
        <v>264</v>
      </c>
      <c r="D105" s="3"/>
      <c r="E105" s="3"/>
      <c r="F105" s="3"/>
      <c r="G105" s="4">
        <v>0.1</v>
      </c>
      <c r="H105" s="17">
        <v>3.1384109401784302E-4</v>
      </c>
      <c r="I105" s="17">
        <v>3.1384109401784302E-4</v>
      </c>
      <c r="J105" s="3">
        <v>1.6725521607491105E-4</v>
      </c>
      <c r="K105" s="3">
        <v>2.5088282411236653E-4</v>
      </c>
      <c r="L105" s="3">
        <v>2</v>
      </c>
      <c r="M105" s="3"/>
      <c r="N105" s="5">
        <v>104</v>
      </c>
      <c r="O105" s="38"/>
      <c r="P105" s="36"/>
    </row>
    <row r="106" spans="1:16" s="34" customFormat="1" x14ac:dyDescent="0.35">
      <c r="A106" s="3" t="s">
        <v>227</v>
      </c>
      <c r="B106" s="3" t="s">
        <v>266</v>
      </c>
      <c r="C106" s="3" t="s">
        <v>456</v>
      </c>
      <c r="D106" s="3">
        <v>16.68</v>
      </c>
      <c r="E106" s="3">
        <v>16.68</v>
      </c>
      <c r="F106" s="3">
        <v>16.68</v>
      </c>
      <c r="G106" s="4">
        <v>16.68</v>
      </c>
      <c r="H106" s="17">
        <v>5.0359778861000289E-3</v>
      </c>
      <c r="I106" s="17">
        <v>5.0359778861000289E-3</v>
      </c>
      <c r="J106" s="3">
        <v>4.0722989182226197E-3</v>
      </c>
      <c r="K106" s="3">
        <v>6.1084483773339287E-3</v>
      </c>
      <c r="L106" s="3">
        <v>2</v>
      </c>
      <c r="M106" s="3"/>
      <c r="N106" s="5">
        <v>105</v>
      </c>
      <c r="O106" s="38"/>
      <c r="P106" s="36"/>
    </row>
    <row r="107" spans="1:16" s="34" customFormat="1" x14ac:dyDescent="0.35">
      <c r="A107" s="3" t="s">
        <v>228</v>
      </c>
      <c r="B107" s="3" t="s">
        <v>266</v>
      </c>
      <c r="C107" s="3" t="s">
        <v>457</v>
      </c>
      <c r="D107" s="3"/>
      <c r="E107" s="3"/>
      <c r="F107" s="3"/>
      <c r="G107" s="4">
        <v>0.1</v>
      </c>
      <c r="H107" s="17">
        <v>9.2635383909719319E-3</v>
      </c>
      <c r="I107" s="17">
        <v>9.2635383909719319E-3</v>
      </c>
      <c r="J107" s="3">
        <v>7.4108307127775455E-3</v>
      </c>
      <c r="K107" s="3">
        <v>1.1116246069166318E-2</v>
      </c>
      <c r="L107" s="3">
        <v>2</v>
      </c>
      <c r="M107" s="3"/>
      <c r="N107" s="5">
        <v>106</v>
      </c>
      <c r="O107" s="38"/>
      <c r="P107" s="36"/>
    </row>
    <row r="108" spans="1:16" s="34" customFormat="1" x14ac:dyDescent="0.35">
      <c r="A108" s="3" t="s">
        <v>229</v>
      </c>
      <c r="B108" s="3" t="s">
        <v>267</v>
      </c>
      <c r="C108" s="3" t="s">
        <v>266</v>
      </c>
      <c r="D108" s="3"/>
      <c r="E108" s="3"/>
      <c r="F108" s="3"/>
      <c r="G108" s="4">
        <v>16.78</v>
      </c>
      <c r="H108" s="17">
        <v>4.5841733443245424E-3</v>
      </c>
      <c r="I108" s="17">
        <v>4.5841733443245424E-3</v>
      </c>
      <c r="J108" s="3">
        <v>1.1102090418788409E-2</v>
      </c>
      <c r="K108" s="3">
        <v>1.6653135628182613E-2</v>
      </c>
      <c r="L108" s="3">
        <v>2</v>
      </c>
      <c r="M108" s="3"/>
      <c r="N108" s="5">
        <v>107</v>
      </c>
      <c r="O108" s="38"/>
      <c r="P108" s="36"/>
    </row>
    <row r="109" spans="1:16" s="34" customFormat="1" x14ac:dyDescent="0.35">
      <c r="A109" s="3" t="s">
        <v>230</v>
      </c>
      <c r="B109" s="3" t="s">
        <v>268</v>
      </c>
      <c r="C109" s="3" t="s">
        <v>267</v>
      </c>
      <c r="D109" s="3">
        <v>10.25</v>
      </c>
      <c r="E109" s="3">
        <v>10.25</v>
      </c>
      <c r="F109" s="3">
        <v>10.25</v>
      </c>
      <c r="G109" s="4">
        <v>10.25</v>
      </c>
      <c r="H109" s="17">
        <v>5.6906580225522217E-3</v>
      </c>
      <c r="I109" s="17">
        <v>5.6906580225522217E-3</v>
      </c>
      <c r="J109" s="3">
        <v>1.8982971924374138E-3</v>
      </c>
      <c r="K109" s="3">
        <v>2.8474457886561205E-3</v>
      </c>
      <c r="L109" s="3">
        <v>2</v>
      </c>
      <c r="M109" s="3"/>
      <c r="N109" s="5">
        <v>108</v>
      </c>
      <c r="O109" s="38"/>
      <c r="P109" s="36"/>
    </row>
    <row r="110" spans="1:16" s="34" customFormat="1" x14ac:dyDescent="0.35">
      <c r="A110" s="3" t="s">
        <v>231</v>
      </c>
      <c r="B110" s="3" t="s">
        <v>269</v>
      </c>
      <c r="C110" s="3" t="s">
        <v>268</v>
      </c>
      <c r="D110" s="3">
        <v>9.23</v>
      </c>
      <c r="E110" s="3">
        <v>9.23</v>
      </c>
      <c r="F110" s="3">
        <v>9.23</v>
      </c>
      <c r="G110" s="4">
        <v>9.23</v>
      </c>
      <c r="H110" s="17">
        <v>5.9491457063322456E-3</v>
      </c>
      <c r="I110" s="17">
        <v>5.9491457063322456E-3</v>
      </c>
      <c r="J110" s="3">
        <v>3.3394642397837578E-3</v>
      </c>
      <c r="K110" s="3">
        <v>5.0091963596756361E-3</v>
      </c>
      <c r="L110" s="3">
        <v>2</v>
      </c>
      <c r="M110" s="3"/>
      <c r="N110" s="5">
        <v>109</v>
      </c>
      <c r="O110" s="38"/>
      <c r="P110" s="36"/>
    </row>
    <row r="111" spans="1:16" s="34" customFormat="1" x14ac:dyDescent="0.35">
      <c r="A111" s="3" t="s">
        <v>232</v>
      </c>
      <c r="B111" s="3" t="s">
        <v>270</v>
      </c>
      <c r="C111" s="3" t="s">
        <v>269</v>
      </c>
      <c r="D111" s="3"/>
      <c r="E111" s="3"/>
      <c r="F111" s="3"/>
      <c r="G111" s="4">
        <v>5.58</v>
      </c>
      <c r="H111" s="17">
        <v>6.5036826115524703E-3</v>
      </c>
      <c r="I111" s="17">
        <v>6.5036826115524703E-3</v>
      </c>
      <c r="J111" s="3">
        <v>5.2029460892419766E-3</v>
      </c>
      <c r="K111" s="3">
        <v>7.8044191338629641E-3</v>
      </c>
      <c r="L111" s="3">
        <v>2</v>
      </c>
      <c r="M111" s="3"/>
      <c r="N111" s="5">
        <v>110</v>
      </c>
      <c r="O111" s="38"/>
      <c r="P111" s="36"/>
    </row>
    <row r="112" spans="1:16" s="34" customFormat="1" x14ac:dyDescent="0.35">
      <c r="A112" s="3" t="s">
        <v>233</v>
      </c>
      <c r="B112" s="3" t="s">
        <v>270</v>
      </c>
      <c r="C112" s="3" t="s">
        <v>458</v>
      </c>
      <c r="D112" s="3"/>
      <c r="E112" s="3"/>
      <c r="F112" s="3"/>
      <c r="G112" s="4">
        <v>2.2999999999999998</v>
      </c>
      <c r="H112" s="17">
        <v>2.5769556557264699E-2</v>
      </c>
      <c r="I112" s="17">
        <v>2.5769556557264699E-2</v>
      </c>
      <c r="J112" s="3">
        <v>1.6594927953626711E-2</v>
      </c>
      <c r="K112" s="3">
        <v>5.1539113114529397E-2</v>
      </c>
      <c r="L112" s="3">
        <v>2</v>
      </c>
      <c r="M112" s="3"/>
      <c r="N112" s="5">
        <v>111</v>
      </c>
      <c r="O112" s="38"/>
      <c r="P112" s="36"/>
    </row>
    <row r="113" spans="1:16" s="34" customFormat="1" x14ac:dyDescent="0.35">
      <c r="A113" s="3" t="s">
        <v>234</v>
      </c>
      <c r="B113" s="3" t="s">
        <v>271</v>
      </c>
      <c r="C113" s="3" t="s">
        <v>108</v>
      </c>
      <c r="D113" s="3"/>
      <c r="E113" s="3"/>
      <c r="F113" s="3"/>
      <c r="G113" s="4">
        <v>6.2200000000000024</v>
      </c>
      <c r="H113" s="17">
        <v>2.530954014418654E-3</v>
      </c>
      <c r="I113" s="17">
        <v>2.530954014418654E-3</v>
      </c>
      <c r="J113" s="3">
        <v>2.0247632115349234E-3</v>
      </c>
      <c r="K113" s="3">
        <v>3.0371448173023845E-3</v>
      </c>
      <c r="L113" s="3">
        <v>2</v>
      </c>
      <c r="M113" s="3"/>
      <c r="N113" s="5">
        <v>112</v>
      </c>
      <c r="O113" s="38"/>
      <c r="P113" s="36"/>
    </row>
    <row r="114" spans="1:16" s="34" customFormat="1" x14ac:dyDescent="0.35">
      <c r="A114" s="3" t="s">
        <v>235</v>
      </c>
      <c r="B114" s="3" t="s">
        <v>256</v>
      </c>
      <c r="C114" s="3" t="s">
        <v>459</v>
      </c>
      <c r="D114" s="3"/>
      <c r="E114" s="3"/>
      <c r="F114" s="3"/>
      <c r="G114" s="4">
        <v>0.7999999999999986</v>
      </c>
      <c r="H114" s="17">
        <v>2.434605155015577E-3</v>
      </c>
      <c r="I114" s="17">
        <v>2.434605155015577E-3</v>
      </c>
      <c r="J114" s="3">
        <v>3.0401570837718275E-3</v>
      </c>
      <c r="K114" s="3">
        <v>4.5602356256577411E-3</v>
      </c>
      <c r="L114" s="3">
        <v>2</v>
      </c>
      <c r="M114" s="3"/>
      <c r="N114" s="5">
        <v>113</v>
      </c>
      <c r="O114" s="38"/>
      <c r="P114" s="36"/>
    </row>
    <row r="115" spans="1:16" s="7" customFormat="1" x14ac:dyDescent="0.35">
      <c r="A115" s="3" t="s">
        <v>236</v>
      </c>
      <c r="B115" s="3" t="s">
        <v>459</v>
      </c>
      <c r="C115" s="3" t="s">
        <v>457</v>
      </c>
      <c r="D115" s="3"/>
      <c r="E115" s="3"/>
      <c r="F115" s="3"/>
      <c r="G115" s="4">
        <v>0.89999999999999858</v>
      </c>
      <c r="H115" s="17">
        <v>4.6988838612487217E-3</v>
      </c>
      <c r="I115" s="17">
        <v>4.6988838612487217E-3</v>
      </c>
      <c r="J115" s="3">
        <v>4.9767816471212719E-3</v>
      </c>
      <c r="K115" s="3">
        <v>7.4651724706819066E-3</v>
      </c>
      <c r="L115" s="3">
        <v>2</v>
      </c>
      <c r="M115" s="3"/>
      <c r="N115" s="5">
        <v>114</v>
      </c>
      <c r="O115" s="41"/>
      <c r="P115" s="22"/>
    </row>
    <row r="116" spans="1:16" s="7" customFormat="1" x14ac:dyDescent="0.35">
      <c r="A116" s="3" t="s">
        <v>237</v>
      </c>
      <c r="B116" s="3" t="s">
        <v>460</v>
      </c>
      <c r="C116" s="3" t="s">
        <v>275</v>
      </c>
      <c r="D116" s="3"/>
      <c r="E116" s="3"/>
      <c r="F116" s="3"/>
      <c r="G116" s="4">
        <v>19.49000000000002</v>
      </c>
      <c r="H116" s="17">
        <v>1.9302805871990499E-3</v>
      </c>
      <c r="I116" s="17">
        <v>1.9302805871990499E-3</v>
      </c>
      <c r="J116" s="3">
        <v>2.9744436901929755E-3</v>
      </c>
      <c r="K116" s="3">
        <v>4.461665535289463E-3</v>
      </c>
      <c r="L116" s="3">
        <v>2</v>
      </c>
      <c r="M116" s="3"/>
      <c r="N116" s="5">
        <v>115</v>
      </c>
      <c r="O116" s="41"/>
      <c r="P116" s="22"/>
    </row>
    <row r="117" spans="1:16" s="7" customFormat="1" x14ac:dyDescent="0.35">
      <c r="A117" s="14" t="s">
        <v>238</v>
      </c>
      <c r="B117" s="14" t="s">
        <v>276</v>
      </c>
      <c r="C117" s="14" t="s">
        <v>460</v>
      </c>
      <c r="D117" s="3"/>
      <c r="E117" s="3"/>
      <c r="F117" s="3">
        <v>19.489999999999998</v>
      </c>
      <c r="G117" s="4">
        <v>23.7425</v>
      </c>
      <c r="H117" s="8">
        <v>8</v>
      </c>
      <c r="I117" s="20">
        <v>1.303728135712764E-3</v>
      </c>
      <c r="J117" s="14">
        <v>6.5186406785638202E-4</v>
      </c>
      <c r="K117" s="14">
        <v>2.6074562714255281E-3</v>
      </c>
      <c r="L117" s="14">
        <v>2</v>
      </c>
      <c r="M117" s="14" t="s">
        <v>2054</v>
      </c>
      <c r="N117" s="5">
        <v>116</v>
      </c>
      <c r="O117" s="41"/>
      <c r="P117" s="22"/>
    </row>
    <row r="118" spans="1:16" s="7" customFormat="1" x14ac:dyDescent="0.35">
      <c r="A118" s="3" t="s">
        <v>239</v>
      </c>
      <c r="B118" s="3" t="s">
        <v>278</v>
      </c>
      <c r="C118" s="3" t="s">
        <v>461</v>
      </c>
      <c r="D118" s="3"/>
      <c r="E118" s="3"/>
      <c r="F118" s="3"/>
      <c r="G118" s="4">
        <v>0.1</v>
      </c>
      <c r="H118" s="17">
        <v>4.4064002591999926E-3</v>
      </c>
      <c r="I118" s="17">
        <v>4.4064002591999926E-3</v>
      </c>
      <c r="J118" s="3">
        <v>3.5251202073599943E-3</v>
      </c>
      <c r="K118" s="3">
        <v>5.287680311039991E-3</v>
      </c>
      <c r="L118" s="3">
        <v>2</v>
      </c>
      <c r="M118" s="3"/>
      <c r="N118" s="5">
        <v>117</v>
      </c>
      <c r="O118" s="41"/>
      <c r="P118" s="22"/>
    </row>
    <row r="119" spans="1:16" s="7" customFormat="1" x14ac:dyDescent="0.35">
      <c r="A119" s="34" t="s">
        <v>240</v>
      </c>
      <c r="B119" s="34" t="s">
        <v>279</v>
      </c>
      <c r="C119" s="34" t="s">
        <v>278</v>
      </c>
      <c r="D119" s="34"/>
      <c r="E119" s="34"/>
      <c r="F119" s="7">
        <v>1.6</v>
      </c>
      <c r="G119" s="35">
        <v>19.8</v>
      </c>
      <c r="H119" s="36">
        <v>8.0397447290160714E-4</v>
      </c>
      <c r="I119" s="36">
        <v>8.0397447290160714E-4</v>
      </c>
      <c r="J119" s="34">
        <v>9.924406410982264E-4</v>
      </c>
      <c r="K119" s="34">
        <v>1.4886609616473396E-3</v>
      </c>
      <c r="L119" s="34">
        <v>2</v>
      </c>
      <c r="M119" s="34" t="s">
        <v>2085</v>
      </c>
      <c r="N119" s="37">
        <v>118</v>
      </c>
      <c r="O119" s="41"/>
      <c r="P119" s="22"/>
    </row>
    <row r="120" spans="1:16" s="7" customFormat="1" x14ac:dyDescent="0.35">
      <c r="A120" s="34" t="s">
        <v>241</v>
      </c>
      <c r="B120" s="34" t="s">
        <v>462</v>
      </c>
      <c r="C120" s="34" t="s">
        <v>281</v>
      </c>
      <c r="D120" s="34"/>
      <c r="E120" s="34"/>
      <c r="F120" s="7">
        <v>2</v>
      </c>
      <c r="G120" s="35">
        <v>0.1</v>
      </c>
      <c r="H120" s="36">
        <v>1.4798130953493219E-3</v>
      </c>
      <c r="I120" s="36">
        <v>1.4798130953493219E-3</v>
      </c>
      <c r="J120" s="34">
        <v>4.3003127870019416E-3</v>
      </c>
      <c r="K120" s="34">
        <v>6.4504691805029116E-3</v>
      </c>
      <c r="L120" s="34">
        <v>2</v>
      </c>
      <c r="M120" s="34" t="s">
        <v>2086</v>
      </c>
      <c r="N120" s="37">
        <v>119</v>
      </c>
      <c r="O120" s="41"/>
      <c r="P120" s="22"/>
    </row>
    <row r="121" spans="1:16" s="7" customFormat="1" x14ac:dyDescent="0.35">
      <c r="A121" s="3" t="s">
        <v>242</v>
      </c>
      <c r="B121" s="3" t="s">
        <v>281</v>
      </c>
      <c r="C121" s="3" t="s">
        <v>463</v>
      </c>
      <c r="D121" s="3">
        <v>8.98</v>
      </c>
      <c r="E121" s="3">
        <v>8.98</v>
      </c>
      <c r="F121" s="3">
        <v>8.98</v>
      </c>
      <c r="G121" s="4">
        <v>8.98</v>
      </c>
      <c r="H121" s="17">
        <v>4.6243684766359566E-3</v>
      </c>
      <c r="I121" s="17">
        <v>4.6243684766359566E-3</v>
      </c>
      <c r="J121" s="3">
        <v>4.7469743353187824E-3</v>
      </c>
      <c r="K121" s="3">
        <v>7.1204615029781728E-3</v>
      </c>
      <c r="L121" s="3">
        <v>2</v>
      </c>
      <c r="M121" s="3"/>
      <c r="N121" s="5">
        <v>120</v>
      </c>
      <c r="O121" s="41"/>
      <c r="P121" s="22"/>
    </row>
    <row r="122" spans="1:16" s="7" customFormat="1" x14ac:dyDescent="0.35">
      <c r="A122" s="3" t="s">
        <v>308</v>
      </c>
      <c r="B122" s="3" t="s">
        <v>464</v>
      </c>
      <c r="C122" s="3" t="s">
        <v>465</v>
      </c>
      <c r="D122" s="3"/>
      <c r="E122" s="3"/>
      <c r="F122" s="3"/>
      <c r="G122" s="4">
        <v>12.29</v>
      </c>
      <c r="H122" s="17">
        <v>5.2567160956166765E-4</v>
      </c>
      <c r="I122" s="17">
        <v>5.2567160956166765E-4</v>
      </c>
      <c r="J122" s="3">
        <v>1.1840389524397449E-4</v>
      </c>
      <c r="K122" s="3">
        <v>1.0513432191233353E-3</v>
      </c>
      <c r="L122" s="3">
        <v>2</v>
      </c>
      <c r="M122" s="3"/>
      <c r="N122" s="5">
        <v>121</v>
      </c>
      <c r="O122" s="41"/>
      <c r="P122" s="22"/>
    </row>
    <row r="123" spans="1:16" s="7" customFormat="1" x14ac:dyDescent="0.35">
      <c r="A123" s="3" t="s">
        <v>309</v>
      </c>
      <c r="B123" s="3" t="s">
        <v>466</v>
      </c>
      <c r="C123" s="3" t="s">
        <v>467</v>
      </c>
      <c r="D123" s="3">
        <v>80.569999999999993</v>
      </c>
      <c r="E123" s="3">
        <v>80.569999999999993</v>
      </c>
      <c r="F123" s="3">
        <v>80.569999999999993</v>
      </c>
      <c r="G123" s="4">
        <v>80.569999999999993</v>
      </c>
      <c r="H123" s="17">
        <v>3.3856684546409321E-4</v>
      </c>
      <c r="I123" s="17">
        <v>3.3856684546409321E-4</v>
      </c>
      <c r="J123" s="3">
        <v>1.7544862888160969E-4</v>
      </c>
      <c r="K123" s="3">
        <v>2.6317294332241453E-4</v>
      </c>
      <c r="L123" s="3">
        <v>2</v>
      </c>
      <c r="M123" s="3"/>
      <c r="N123" s="5">
        <v>122</v>
      </c>
      <c r="O123" s="41"/>
      <c r="P123" s="22"/>
    </row>
    <row r="124" spans="1:16" s="7" customFormat="1" x14ac:dyDescent="0.35">
      <c r="A124" s="7" t="s">
        <v>310</v>
      </c>
      <c r="B124" s="7" t="s">
        <v>468</v>
      </c>
      <c r="C124" s="7" t="s">
        <v>300</v>
      </c>
      <c r="G124" s="11">
        <v>72.439999999999984</v>
      </c>
      <c r="H124" s="8">
        <v>95</v>
      </c>
      <c r="I124" s="22">
        <v>1.3959600881473821E-3</v>
      </c>
      <c r="J124" s="7">
        <v>9.9999999999999995E-7</v>
      </c>
      <c r="K124" s="7">
        <v>0.01</v>
      </c>
      <c r="L124" s="7">
        <v>2</v>
      </c>
      <c r="N124" s="8">
        <v>123</v>
      </c>
      <c r="O124" s="41"/>
      <c r="P124" s="22"/>
    </row>
    <row r="125" spans="1:16" s="7" customFormat="1" x14ac:dyDescent="0.35">
      <c r="A125" s="3" t="s">
        <v>311</v>
      </c>
      <c r="B125" s="3" t="s">
        <v>468</v>
      </c>
      <c r="C125" s="3" t="s">
        <v>306</v>
      </c>
      <c r="D125" s="3">
        <v>157.44</v>
      </c>
      <c r="E125" s="3">
        <v>157.44</v>
      </c>
      <c r="F125" s="3">
        <v>157.44</v>
      </c>
      <c r="G125" s="4">
        <v>157.44</v>
      </c>
      <c r="H125" s="17">
        <v>1.6182379923500729E-4</v>
      </c>
      <c r="I125" s="17">
        <v>1.6182379923500729E-4</v>
      </c>
      <c r="J125" s="3">
        <v>2.4429145044325225E-4</v>
      </c>
      <c r="K125" s="3">
        <v>3.6643717566487832E-4</v>
      </c>
      <c r="L125" s="3">
        <v>2</v>
      </c>
      <c r="M125" s="3"/>
      <c r="N125" s="5">
        <v>124</v>
      </c>
      <c r="O125" s="41"/>
      <c r="P125" s="22"/>
    </row>
    <row r="126" spans="1:16" s="7" customFormat="1" x14ac:dyDescent="0.35">
      <c r="A126" s="3" t="s">
        <v>312</v>
      </c>
      <c r="B126" s="3" t="s">
        <v>467</v>
      </c>
      <c r="C126" s="3" t="s">
        <v>469</v>
      </c>
      <c r="D126" s="3">
        <v>70.38</v>
      </c>
      <c r="E126" s="3">
        <v>70.38</v>
      </c>
      <c r="F126" s="3">
        <v>70.38</v>
      </c>
      <c r="G126" s="4">
        <v>70.38</v>
      </c>
      <c r="H126" s="19">
        <v>2.5957373181743372E-4</v>
      </c>
      <c r="I126" s="19">
        <v>2.5957373181743372E-4</v>
      </c>
      <c r="J126" s="3">
        <v>1.0711583472988753E-4</v>
      </c>
      <c r="K126" s="3">
        <v>1.6067375209483128E-4</v>
      </c>
      <c r="L126" s="3">
        <v>2</v>
      </c>
      <c r="M126" s="3"/>
      <c r="N126" s="5">
        <v>125</v>
      </c>
      <c r="O126" s="41"/>
      <c r="P126" s="22"/>
    </row>
    <row r="127" spans="1:16" s="7" customFormat="1" x14ac:dyDescent="0.35">
      <c r="A127" s="3" t="s">
        <v>313</v>
      </c>
      <c r="B127" s="3" t="s">
        <v>470</v>
      </c>
      <c r="C127" s="3" t="s">
        <v>471</v>
      </c>
      <c r="D127" s="3"/>
      <c r="E127" s="3"/>
      <c r="F127" s="3"/>
      <c r="G127" s="4">
        <v>13.05</v>
      </c>
      <c r="H127" s="17">
        <v>6.7695536735963146E-4</v>
      </c>
      <c r="I127" s="17">
        <v>6.7695536735963146E-4</v>
      </c>
      <c r="J127" s="3">
        <v>5.9574238195879143E-4</v>
      </c>
      <c r="K127" s="3">
        <v>8.9361357293818704E-4</v>
      </c>
      <c r="L127" s="3">
        <v>2</v>
      </c>
      <c r="M127" s="3"/>
      <c r="N127" s="5">
        <v>126</v>
      </c>
      <c r="O127" s="41"/>
      <c r="P127" s="22"/>
    </row>
    <row r="128" spans="1:16" s="7" customFormat="1" x14ac:dyDescent="0.35">
      <c r="A128" s="34" t="s">
        <v>314</v>
      </c>
      <c r="B128" s="34" t="s">
        <v>472</v>
      </c>
      <c r="C128" s="34" t="s">
        <v>461</v>
      </c>
      <c r="D128" s="34"/>
      <c r="E128" s="34"/>
      <c r="F128" s="7">
        <v>2.12</v>
      </c>
      <c r="G128" s="35">
        <v>7.2849999999999966</v>
      </c>
      <c r="H128" s="36">
        <v>5.5740132395884984E-3</v>
      </c>
      <c r="I128" s="36">
        <v>5.5740132395884984E-3</v>
      </c>
      <c r="J128" s="34">
        <v>2.4345482327863249E-3</v>
      </c>
      <c r="K128" s="34">
        <v>3.6518223491794873E-3</v>
      </c>
      <c r="L128" s="34">
        <v>2</v>
      </c>
      <c r="M128" s="34" t="s">
        <v>2085</v>
      </c>
      <c r="N128" s="37">
        <v>127</v>
      </c>
      <c r="O128" s="41"/>
      <c r="P128" s="22"/>
    </row>
    <row r="129" spans="1:16" s="7" customFormat="1" x14ac:dyDescent="0.35">
      <c r="A129" s="3" t="s">
        <v>315</v>
      </c>
      <c r="B129" s="3" t="s">
        <v>472</v>
      </c>
      <c r="C129" s="3" t="s">
        <v>473</v>
      </c>
      <c r="D129" s="3"/>
      <c r="E129" s="3"/>
      <c r="F129" s="3"/>
      <c r="G129" s="4">
        <v>4.4399999999999959</v>
      </c>
      <c r="H129" s="17">
        <v>1.7721158218176329E-3</v>
      </c>
      <c r="I129" s="17">
        <v>1.7721158218176329E-3</v>
      </c>
      <c r="J129" s="3">
        <v>1.1657726462085088E-3</v>
      </c>
      <c r="K129" s="3">
        <v>1.748658969312763E-3</v>
      </c>
      <c r="L129" s="3">
        <v>2</v>
      </c>
      <c r="M129" s="3"/>
      <c r="N129" s="5">
        <v>128</v>
      </c>
      <c r="O129" s="41"/>
      <c r="P129" s="22"/>
    </row>
    <row r="130" spans="1:16" s="7" customFormat="1" x14ac:dyDescent="0.35">
      <c r="A130" s="3" t="s">
        <v>316</v>
      </c>
      <c r="B130" s="3" t="s">
        <v>461</v>
      </c>
      <c r="C130" s="3" t="s">
        <v>474</v>
      </c>
      <c r="D130" s="3"/>
      <c r="E130" s="3"/>
      <c r="F130" s="3"/>
      <c r="G130" s="4">
        <v>7.3849999999999971</v>
      </c>
      <c r="H130" s="17">
        <v>1.0194405742639621E-3</v>
      </c>
      <c r="I130" s="17">
        <v>1.0194405742639621E-3</v>
      </c>
      <c r="J130" s="3">
        <v>9.6318634948429387E-5</v>
      </c>
      <c r="K130" s="3">
        <v>1.4447795242264407E-4</v>
      </c>
      <c r="L130" s="3">
        <v>2</v>
      </c>
      <c r="M130" s="3"/>
      <c r="N130" s="5">
        <v>129</v>
      </c>
      <c r="O130" s="41"/>
      <c r="P130" s="22"/>
    </row>
    <row r="131" spans="1:16" s="7" customFormat="1" x14ac:dyDescent="0.35">
      <c r="A131" s="3" t="s">
        <v>317</v>
      </c>
      <c r="B131" s="3" t="s">
        <v>287</v>
      </c>
      <c r="C131" s="3" t="s">
        <v>288</v>
      </c>
      <c r="D131" s="3"/>
      <c r="E131" s="3"/>
      <c r="F131" s="3"/>
      <c r="G131" s="4">
        <v>42.414999999999978</v>
      </c>
      <c r="H131" s="17">
        <v>8.2035028540000752E-3</v>
      </c>
      <c r="I131" s="17">
        <v>8.2035028540000752E-3</v>
      </c>
      <c r="J131" s="3">
        <v>2.6601339800632192E-3</v>
      </c>
      <c r="K131" s="3">
        <v>3.9902009700948284E-3</v>
      </c>
      <c r="L131" s="3">
        <v>2</v>
      </c>
      <c r="M131" s="3"/>
      <c r="N131" s="5">
        <v>130</v>
      </c>
      <c r="O131" s="41"/>
      <c r="P131" s="22"/>
    </row>
    <row r="132" spans="1:16" s="7" customFormat="1" x14ac:dyDescent="0.35">
      <c r="A132" s="3" t="s">
        <v>318</v>
      </c>
      <c r="B132" s="3" t="s">
        <v>289</v>
      </c>
      <c r="C132" s="3" t="s">
        <v>475</v>
      </c>
      <c r="D132" s="3"/>
      <c r="E132" s="3"/>
      <c r="F132" s="3"/>
      <c r="G132" s="4">
        <v>0.2</v>
      </c>
      <c r="H132" s="17">
        <v>4.6321907107906978E-4</v>
      </c>
      <c r="I132" s="17">
        <v>4.6321907107906978E-4</v>
      </c>
      <c r="J132" s="3">
        <v>3.7057525686325587E-4</v>
      </c>
      <c r="K132" s="3">
        <v>5.5586288529488369E-4</v>
      </c>
      <c r="L132" s="3">
        <v>2</v>
      </c>
      <c r="M132" s="3"/>
      <c r="N132" s="5">
        <v>131</v>
      </c>
      <c r="O132" s="41"/>
      <c r="P132" s="22"/>
    </row>
    <row r="133" spans="1:16" s="7" customFormat="1" x14ac:dyDescent="0.35">
      <c r="A133" s="3" t="s">
        <v>244</v>
      </c>
      <c r="B133" s="3" t="s">
        <v>290</v>
      </c>
      <c r="C133" s="3" t="s">
        <v>476</v>
      </c>
      <c r="D133" s="3"/>
      <c r="E133" s="3"/>
      <c r="F133" s="3"/>
      <c r="G133" s="4">
        <v>11.53999999999999</v>
      </c>
      <c r="H133" s="17">
        <v>2.6373507123923479E-3</v>
      </c>
      <c r="I133" s="17">
        <v>2.6373507123923479E-3</v>
      </c>
      <c r="J133" s="3">
        <v>6.842366817818084E-3</v>
      </c>
      <c r="K133" s="3">
        <v>1.0263550226727125E-2</v>
      </c>
      <c r="L133" s="3">
        <v>2</v>
      </c>
      <c r="M133" s="3"/>
      <c r="N133" s="5">
        <v>132</v>
      </c>
      <c r="O133" s="41"/>
      <c r="P133" s="22"/>
    </row>
    <row r="134" spans="1:16" s="7" customFormat="1" x14ac:dyDescent="0.35">
      <c r="A134" s="3" t="s">
        <v>319</v>
      </c>
      <c r="B134" s="3" t="s">
        <v>291</v>
      </c>
      <c r="C134" s="3" t="s">
        <v>290</v>
      </c>
      <c r="D134" s="3"/>
      <c r="E134" s="3"/>
      <c r="F134" s="3"/>
      <c r="G134" s="4">
        <v>4.5399999999999903</v>
      </c>
      <c r="H134" s="17">
        <v>2.746205241751521E-3</v>
      </c>
      <c r="I134" s="17">
        <v>2.746205241751521E-3</v>
      </c>
      <c r="J134" s="3">
        <v>2.196964193401217E-3</v>
      </c>
      <c r="K134" s="3">
        <v>3.295446290101825E-3</v>
      </c>
      <c r="L134" s="3">
        <v>2</v>
      </c>
      <c r="M134" s="3"/>
      <c r="N134" s="5">
        <v>133</v>
      </c>
      <c r="O134" s="41"/>
      <c r="P134" s="22"/>
    </row>
    <row r="135" spans="1:16" s="7" customFormat="1" x14ac:dyDescent="0.35">
      <c r="A135" s="3" t="s">
        <v>320</v>
      </c>
      <c r="B135" s="3" t="s">
        <v>291</v>
      </c>
      <c r="C135" s="3" t="s">
        <v>292</v>
      </c>
      <c r="D135" s="3"/>
      <c r="E135" s="3"/>
      <c r="F135" s="3"/>
      <c r="G135" s="4">
        <v>10.52000000000001</v>
      </c>
      <c r="H135" s="17">
        <v>4.8137714237073276E-3</v>
      </c>
      <c r="I135" s="17">
        <v>4.8137714237073276E-3</v>
      </c>
      <c r="J135" s="3">
        <v>2.5490118862466406E-3</v>
      </c>
      <c r="K135" s="3">
        <v>3.823517829369961E-3</v>
      </c>
      <c r="L135" s="3">
        <v>2</v>
      </c>
      <c r="M135" s="3"/>
      <c r="N135" s="5">
        <v>134</v>
      </c>
      <c r="O135" s="41"/>
      <c r="P135" s="22"/>
    </row>
    <row r="136" spans="1:16" s="7" customFormat="1" x14ac:dyDescent="0.35">
      <c r="A136" s="34" t="s">
        <v>321</v>
      </c>
      <c r="B136" s="34" t="s">
        <v>294</v>
      </c>
      <c r="C136" s="34" t="s">
        <v>295</v>
      </c>
      <c r="D136" s="34"/>
      <c r="E136" s="34"/>
      <c r="F136" s="7">
        <v>5</v>
      </c>
      <c r="G136" s="35">
        <v>10.964999999999989</v>
      </c>
      <c r="H136" s="36">
        <v>5.6119250072551917E-4</v>
      </c>
      <c r="I136" s="36">
        <v>5.6119250072551917E-4</v>
      </c>
      <c r="J136" s="34">
        <v>7.3962287480473744E-4</v>
      </c>
      <c r="K136" s="34">
        <v>1.1094343122071059E-3</v>
      </c>
      <c r="L136" s="34">
        <v>2</v>
      </c>
      <c r="M136" s="34" t="s">
        <v>2085</v>
      </c>
      <c r="N136" s="37">
        <v>135</v>
      </c>
      <c r="O136" s="41"/>
      <c r="P136" s="22"/>
    </row>
    <row r="137" spans="1:16" s="7" customFormat="1" x14ac:dyDescent="0.35">
      <c r="A137" s="3" t="s">
        <v>322</v>
      </c>
      <c r="B137" s="3" t="s">
        <v>296</v>
      </c>
      <c r="C137" s="3" t="s">
        <v>281</v>
      </c>
      <c r="D137" s="3"/>
      <c r="E137" s="3"/>
      <c r="F137" s="3"/>
      <c r="G137" s="4">
        <v>8.8800000000000008</v>
      </c>
      <c r="H137" s="17">
        <v>2.7356030512658901E-3</v>
      </c>
      <c r="I137" s="17">
        <v>2.7356030512658901E-3</v>
      </c>
      <c r="J137" s="3">
        <v>1.3241152232001145E-3</v>
      </c>
      <c r="K137" s="3">
        <v>1.9861728348001717E-3</v>
      </c>
      <c r="L137" s="3">
        <v>2</v>
      </c>
      <c r="M137" s="3"/>
      <c r="N137" s="5">
        <v>136</v>
      </c>
      <c r="O137" s="41"/>
      <c r="P137" s="22"/>
    </row>
    <row r="138" spans="1:16" s="7" customFormat="1" x14ac:dyDescent="0.35">
      <c r="A138" s="3" t="s">
        <v>323</v>
      </c>
      <c r="B138" s="3" t="s">
        <v>296</v>
      </c>
      <c r="C138" s="3" t="s">
        <v>285</v>
      </c>
      <c r="D138" s="3"/>
      <c r="E138" s="3"/>
      <c r="F138" s="3"/>
      <c r="G138" s="4">
        <v>2.160000000000001</v>
      </c>
      <c r="H138" s="17">
        <v>3.9831020048080252E-3</v>
      </c>
      <c r="I138" s="17">
        <v>3.9831020048080252E-3</v>
      </c>
      <c r="J138" s="3">
        <v>1.9915510024040126E-3</v>
      </c>
      <c r="K138" s="3">
        <v>7.9662040096160503E-3</v>
      </c>
      <c r="L138" s="3">
        <v>2</v>
      </c>
      <c r="M138" s="3"/>
      <c r="N138" s="5">
        <v>137</v>
      </c>
      <c r="O138" s="41"/>
      <c r="P138" s="22"/>
    </row>
    <row r="139" spans="1:16" s="7" customFormat="1" x14ac:dyDescent="0.35">
      <c r="A139" s="3" t="s">
        <v>324</v>
      </c>
      <c r="B139" s="3" t="s">
        <v>442</v>
      </c>
      <c r="C139" s="3" t="s">
        <v>477</v>
      </c>
      <c r="D139" s="3">
        <v>222.92</v>
      </c>
      <c r="E139" s="3">
        <v>222.92</v>
      </c>
      <c r="F139" s="3">
        <v>222.92</v>
      </c>
      <c r="G139" s="4">
        <v>222.92</v>
      </c>
      <c r="H139" s="17">
        <v>1.1475750156255641E-3</v>
      </c>
      <c r="I139" s="17">
        <v>1.1475750156255641E-3</v>
      </c>
      <c r="J139" s="3">
        <v>1.2058952974955753E-3</v>
      </c>
      <c r="K139" s="3">
        <v>1.8088429462433629E-3</v>
      </c>
      <c r="L139" s="3">
        <v>2</v>
      </c>
      <c r="M139" s="3"/>
      <c r="N139" s="5">
        <v>138</v>
      </c>
      <c r="O139" s="41"/>
      <c r="P139" s="22"/>
    </row>
    <row r="140" spans="1:16" x14ac:dyDescent="0.35">
      <c r="A140" s="3" t="s">
        <v>325</v>
      </c>
      <c r="B140" s="3" t="s">
        <v>273</v>
      </c>
      <c r="C140" s="3" t="s">
        <v>478</v>
      </c>
      <c r="G140" s="4">
        <v>16.824999999999982</v>
      </c>
      <c r="H140" s="17">
        <v>4.8266595158701674E-3</v>
      </c>
      <c r="I140" s="17">
        <v>4.8266595158701674E-3</v>
      </c>
      <c r="J140" s="3">
        <f>I140*0.8</f>
        <v>3.8613276126961342E-3</v>
      </c>
      <c r="K140" s="3">
        <f>I140*1.2</f>
        <v>5.7919914190442011E-3</v>
      </c>
      <c r="L140" s="3">
        <v>2</v>
      </c>
      <c r="N140" s="5">
        <v>139</v>
      </c>
      <c r="O140" s="18"/>
      <c r="P140" s="17"/>
    </row>
    <row r="141" spans="1:16" x14ac:dyDescent="0.35">
      <c r="A141" s="3" t="s">
        <v>326</v>
      </c>
      <c r="B141" s="3" t="s">
        <v>304</v>
      </c>
      <c r="C141" s="3" t="s">
        <v>273</v>
      </c>
      <c r="G141" s="4">
        <v>6.0149999999999926</v>
      </c>
      <c r="H141" s="17">
        <v>4.7448015931699167E-3</v>
      </c>
      <c r="I141" s="17">
        <v>4.7448015931699167E-3</v>
      </c>
      <c r="J141" s="3">
        <f>I141*0.8</f>
        <v>3.7958412745359334E-3</v>
      </c>
      <c r="K141" s="3">
        <f>I141*1.2</f>
        <v>5.6937619118039001E-3</v>
      </c>
      <c r="L141" s="3">
        <v>2</v>
      </c>
      <c r="N141" s="5">
        <v>140</v>
      </c>
      <c r="O141" s="18"/>
      <c r="P141" s="17"/>
    </row>
    <row r="142" spans="1:16" x14ac:dyDescent="0.35">
      <c r="A142" s="3" t="s">
        <v>249</v>
      </c>
      <c r="B142" s="3" t="s">
        <v>299</v>
      </c>
      <c r="C142" s="3" t="s">
        <v>479</v>
      </c>
      <c r="D142" s="3">
        <v>114.88</v>
      </c>
      <c r="E142" s="3">
        <v>114.88</v>
      </c>
      <c r="F142" s="3">
        <v>114.88</v>
      </c>
      <c r="G142" s="4">
        <v>114.88</v>
      </c>
      <c r="H142" s="17">
        <v>1.8505769728261641E-3</v>
      </c>
      <c r="I142" s="17">
        <v>1.8505769728261641E-3</v>
      </c>
      <c r="J142" s="3">
        <v>4.8523082494226507E-4</v>
      </c>
      <c r="K142" s="3">
        <v>7.2784623741339752E-4</v>
      </c>
      <c r="L142" s="3">
        <v>2</v>
      </c>
      <c r="N142" s="5">
        <v>141</v>
      </c>
      <c r="O142" s="18"/>
      <c r="P142" s="17"/>
    </row>
    <row r="143" spans="1:16" x14ac:dyDescent="0.35">
      <c r="A143" s="3" t="s">
        <v>245</v>
      </c>
      <c r="B143" s="3" t="s">
        <v>258</v>
      </c>
      <c r="C143" s="3" t="s">
        <v>480</v>
      </c>
      <c r="G143" s="4">
        <v>0.19999999999999971</v>
      </c>
      <c r="H143" s="17">
        <v>3.9314273260316972E-4</v>
      </c>
      <c r="I143" s="17">
        <v>3.9314273260316972E-4</v>
      </c>
      <c r="J143" s="3">
        <f>I143*0.1</f>
        <v>3.9314273260316972E-5</v>
      </c>
      <c r="K143" s="3">
        <f>I143*10</f>
        <v>3.9314273260316977E-3</v>
      </c>
      <c r="L143" s="3">
        <v>2</v>
      </c>
      <c r="N143" s="5">
        <v>142</v>
      </c>
      <c r="O143" s="18"/>
      <c r="P143" s="17"/>
    </row>
    <row r="144" spans="1:16" x14ac:dyDescent="0.35">
      <c r="A144" s="3" t="s">
        <v>327</v>
      </c>
      <c r="B144" s="3" t="s">
        <v>286</v>
      </c>
      <c r="C144" s="3" t="s">
        <v>481</v>
      </c>
      <c r="G144" s="4">
        <v>53.397499999999987</v>
      </c>
      <c r="H144" s="17">
        <v>9.8043660395188601E-4</v>
      </c>
      <c r="I144" s="17">
        <v>9.8043660395188601E-4</v>
      </c>
      <c r="J144" s="3">
        <v>7.7495579958849245E-5</v>
      </c>
      <c r="K144" s="3">
        <v>1.1624336993827384E-4</v>
      </c>
      <c r="L144" s="3">
        <v>2</v>
      </c>
      <c r="N144" s="5">
        <v>143</v>
      </c>
      <c r="O144" s="18"/>
      <c r="P144" s="17"/>
    </row>
    <row r="145" spans="1:16" x14ac:dyDescent="0.35">
      <c r="A145" s="3" t="s">
        <v>328</v>
      </c>
      <c r="B145" s="3" t="s">
        <v>482</v>
      </c>
      <c r="C145" s="3" t="s">
        <v>483</v>
      </c>
      <c r="G145" s="4">
        <v>0.3</v>
      </c>
      <c r="H145" s="17">
        <v>2.4102027442217599E-3</v>
      </c>
      <c r="I145" s="17">
        <v>2.4102027442217599E-3</v>
      </c>
      <c r="J145" s="3">
        <v>1.928162195377408E-3</v>
      </c>
      <c r="K145" s="3">
        <v>2.8922432930661118E-3</v>
      </c>
      <c r="L145" s="3">
        <v>2</v>
      </c>
      <c r="N145" s="5">
        <v>144</v>
      </c>
      <c r="O145" s="18"/>
      <c r="P145" s="17"/>
    </row>
    <row r="146" spans="1:16" x14ac:dyDescent="0.35">
      <c r="A146" s="3" t="s">
        <v>329</v>
      </c>
      <c r="B146" s="3" t="s">
        <v>484</v>
      </c>
      <c r="C146" s="3" t="s">
        <v>485</v>
      </c>
      <c r="G146" s="4">
        <v>0.66499999999998094</v>
      </c>
      <c r="H146" s="17">
        <v>6.0188634584245971E-3</v>
      </c>
      <c r="I146" s="17">
        <v>6.0188634584245971E-3</v>
      </c>
      <c r="J146" s="3">
        <v>3.1460251698058454E-3</v>
      </c>
      <c r="K146" s="3">
        <v>4.7190377547087674E-3</v>
      </c>
      <c r="L146" s="3">
        <v>2</v>
      </c>
      <c r="N146" s="5">
        <v>145</v>
      </c>
      <c r="O146" s="18"/>
      <c r="P146" s="17"/>
    </row>
    <row r="147" spans="1:16" x14ac:dyDescent="0.35">
      <c r="A147" s="3" t="s">
        <v>330</v>
      </c>
      <c r="B147" s="3" t="s">
        <v>486</v>
      </c>
      <c r="C147" s="3" t="s">
        <v>485</v>
      </c>
      <c r="G147" s="4">
        <v>0.1</v>
      </c>
      <c r="H147" s="17">
        <v>1.6860683462456491E-3</v>
      </c>
      <c r="I147" s="17">
        <v>1.6860683462456491E-3</v>
      </c>
      <c r="J147" s="3">
        <v>1.3488546769965194E-3</v>
      </c>
      <c r="K147" s="3">
        <v>2.023282015494779E-3</v>
      </c>
      <c r="L147" s="3">
        <v>2</v>
      </c>
      <c r="N147" s="5">
        <v>146</v>
      </c>
      <c r="O147" s="18"/>
      <c r="P147" s="17"/>
    </row>
    <row r="148" spans="1:16" x14ac:dyDescent="0.35">
      <c r="A148" s="3" t="s">
        <v>331</v>
      </c>
      <c r="B148" s="3" t="s">
        <v>487</v>
      </c>
      <c r="C148" s="3" t="s">
        <v>488</v>
      </c>
      <c r="D148" s="3">
        <v>5.0599999999999996</v>
      </c>
      <c r="E148" s="3">
        <v>5.0599999999999996</v>
      </c>
      <c r="F148" s="3">
        <v>5.0599999999999996</v>
      </c>
      <c r="G148" s="4">
        <v>5.0599999999999996</v>
      </c>
      <c r="H148" s="17">
        <v>7.1381647058823487E-4</v>
      </c>
      <c r="I148" s="17">
        <v>7.1381647058823487E-4</v>
      </c>
      <c r="J148" s="3">
        <v>1.0733246945935791E-3</v>
      </c>
      <c r="K148" s="3">
        <v>1.6099870418903688E-3</v>
      </c>
      <c r="L148" s="3">
        <v>2</v>
      </c>
      <c r="N148" s="5">
        <v>147</v>
      </c>
      <c r="O148" s="18"/>
      <c r="P148" s="17"/>
    </row>
    <row r="149" spans="1:16" x14ac:dyDescent="0.35">
      <c r="A149" s="3" t="s">
        <v>332</v>
      </c>
      <c r="B149" s="3" t="s">
        <v>489</v>
      </c>
      <c r="C149" s="3" t="s">
        <v>490</v>
      </c>
      <c r="G149" s="4">
        <v>13.27</v>
      </c>
      <c r="H149" s="17">
        <v>4.5097240670902063E-5</v>
      </c>
      <c r="I149" s="17">
        <v>4.5097240670902063E-5</v>
      </c>
      <c r="J149" s="3">
        <f>I149*0.8</f>
        <v>3.6077792536721655E-5</v>
      </c>
      <c r="K149" s="3">
        <f>I149*1.2</f>
        <v>5.4116688805082472E-5</v>
      </c>
      <c r="L149" s="3">
        <v>2</v>
      </c>
      <c r="N149" s="5">
        <v>148</v>
      </c>
      <c r="O149" s="18"/>
      <c r="P149" s="17"/>
    </row>
    <row r="150" spans="1:16" x14ac:dyDescent="0.35">
      <c r="A150" s="3" t="s">
        <v>333</v>
      </c>
      <c r="B150" s="3" t="s">
        <v>491</v>
      </c>
      <c r="C150" s="3" t="s">
        <v>492</v>
      </c>
      <c r="D150" s="3">
        <v>34.869999999999997</v>
      </c>
      <c r="E150" s="3">
        <v>34.869999999999997</v>
      </c>
      <c r="F150" s="3">
        <v>34.869999999999997</v>
      </c>
      <c r="G150" s="4">
        <v>34.869999999999997</v>
      </c>
      <c r="H150" s="17">
        <v>1.502200193466506E-3</v>
      </c>
      <c r="I150" s="17">
        <v>1.502200193466506E-3</v>
      </c>
      <c r="J150" s="3">
        <v>1.0629324990530144E-4</v>
      </c>
      <c r="K150" s="3">
        <v>1.5943987485795216E-4</v>
      </c>
      <c r="L150" s="3">
        <v>2</v>
      </c>
      <c r="N150" s="5">
        <v>149</v>
      </c>
      <c r="O150" s="18"/>
      <c r="P150" s="17"/>
    </row>
    <row r="151" spans="1:16" x14ac:dyDescent="0.35">
      <c r="A151" s="3" t="s">
        <v>334</v>
      </c>
      <c r="B151" s="3" t="s">
        <v>492</v>
      </c>
      <c r="C151" s="3" t="s">
        <v>493</v>
      </c>
      <c r="D151" s="3">
        <v>47.96</v>
      </c>
      <c r="E151" s="3">
        <v>47.96</v>
      </c>
      <c r="F151" s="3">
        <v>47.96</v>
      </c>
      <c r="G151" s="4">
        <v>47.96</v>
      </c>
      <c r="H151" s="17">
        <v>1.087525421933069E-3</v>
      </c>
      <c r="I151" s="17">
        <v>1.087525421933069E-3</v>
      </c>
      <c r="J151" s="3">
        <v>1.0418876003302671E-3</v>
      </c>
      <c r="K151" s="3">
        <v>1.5628314004954007E-3</v>
      </c>
      <c r="L151" s="3">
        <v>2</v>
      </c>
      <c r="N151" s="5">
        <v>150</v>
      </c>
      <c r="O151" s="18"/>
      <c r="P151" s="17"/>
    </row>
    <row r="152" spans="1:16" x14ac:dyDescent="0.35">
      <c r="A152" s="3" t="s">
        <v>246</v>
      </c>
      <c r="B152" s="3" t="s">
        <v>493</v>
      </c>
      <c r="C152" s="3" t="s">
        <v>494</v>
      </c>
      <c r="D152" s="3">
        <v>60.07</v>
      </c>
      <c r="E152" s="3">
        <v>60.07</v>
      </c>
      <c r="F152" s="3">
        <v>60.07</v>
      </c>
      <c r="G152" s="4">
        <v>60.07</v>
      </c>
      <c r="H152" s="17">
        <v>1.5047903794252E-3</v>
      </c>
      <c r="I152" s="17">
        <v>1.5047903794252E-3</v>
      </c>
      <c r="J152" s="3">
        <v>2.3692675277854915E-3</v>
      </c>
      <c r="K152" s="3">
        <v>3.5539012916782366E-3</v>
      </c>
      <c r="L152" s="3">
        <v>2</v>
      </c>
      <c r="N152" s="5">
        <v>151</v>
      </c>
      <c r="O152" s="18"/>
      <c r="P152" s="17"/>
    </row>
    <row r="153" spans="1:16" x14ac:dyDescent="0.35">
      <c r="A153" s="3" t="s">
        <v>335</v>
      </c>
      <c r="B153" s="3" t="s">
        <v>494</v>
      </c>
      <c r="C153" s="3" t="s">
        <v>495</v>
      </c>
      <c r="D153" s="3">
        <v>68.010000000000005</v>
      </c>
      <c r="E153" s="3">
        <v>68.010000000000005</v>
      </c>
      <c r="F153" s="3">
        <v>68.010000000000005</v>
      </c>
      <c r="G153" s="4">
        <v>68.010000000000005</v>
      </c>
      <c r="H153" s="17">
        <v>1.913492423862558E-3</v>
      </c>
      <c r="I153" s="17">
        <v>1.913492423862558E-3</v>
      </c>
      <c r="J153" s="3">
        <v>1.1652093810882048E-3</v>
      </c>
      <c r="K153" s="3">
        <v>1.7478140716323072E-3</v>
      </c>
      <c r="L153" s="3">
        <v>2</v>
      </c>
      <c r="N153" s="5">
        <v>152</v>
      </c>
      <c r="O153" s="18"/>
      <c r="P153" s="17"/>
    </row>
    <row r="154" spans="1:16" x14ac:dyDescent="0.35">
      <c r="A154" s="3" t="s">
        <v>336</v>
      </c>
      <c r="B154" s="3" t="s">
        <v>496</v>
      </c>
      <c r="C154" s="3" t="s">
        <v>497</v>
      </c>
      <c r="G154" s="4">
        <v>62.939999999999991</v>
      </c>
      <c r="H154" s="17">
        <v>1.604602433013117E-3</v>
      </c>
      <c r="I154" s="17">
        <v>1.604602433013117E-3</v>
      </c>
      <c r="J154" s="3">
        <v>6.9061605818405785E-4</v>
      </c>
      <c r="K154" s="3">
        <v>1.0359240872760867E-3</v>
      </c>
      <c r="L154" s="3">
        <v>2</v>
      </c>
      <c r="N154" s="5">
        <v>153</v>
      </c>
      <c r="O154" s="18"/>
      <c r="P154" s="17"/>
    </row>
    <row r="155" spans="1:16" x14ac:dyDescent="0.35">
      <c r="A155" s="3" t="s">
        <v>337</v>
      </c>
      <c r="B155" s="3" t="s">
        <v>498</v>
      </c>
      <c r="C155" s="3" t="s">
        <v>496</v>
      </c>
      <c r="D155" s="3">
        <v>38.119999999999997</v>
      </c>
      <c r="E155" s="3">
        <v>38.119999999999997</v>
      </c>
      <c r="F155" s="3">
        <v>38.119999999999997</v>
      </c>
      <c r="G155" s="4">
        <v>38.119999999999997</v>
      </c>
      <c r="H155" s="17">
        <v>4.7870467918074292E-3</v>
      </c>
      <c r="I155" s="17">
        <v>4.7870467918074292E-3</v>
      </c>
      <c r="J155" s="3">
        <v>1.1002156318476216E-3</v>
      </c>
      <c r="K155" s="3">
        <v>1.6503234477714325E-3</v>
      </c>
      <c r="L155" s="3">
        <v>2</v>
      </c>
      <c r="N155" s="5">
        <v>154</v>
      </c>
      <c r="O155" s="18"/>
      <c r="P155" s="17"/>
    </row>
    <row r="156" spans="1:16" x14ac:dyDescent="0.35">
      <c r="A156" s="3" t="s">
        <v>338</v>
      </c>
      <c r="B156" s="3" t="s">
        <v>499</v>
      </c>
      <c r="C156" s="3" t="s">
        <v>20</v>
      </c>
      <c r="G156" s="4">
        <v>48.850000000000009</v>
      </c>
      <c r="H156" s="17">
        <v>6.8874441510532102E-3</v>
      </c>
      <c r="I156" s="17">
        <v>6.8874441510532102E-3</v>
      </c>
      <c r="J156" s="3">
        <v>9.2659498173203372E-3</v>
      </c>
      <c r="K156" s="3">
        <v>1.3898924725980503E-2</v>
      </c>
      <c r="L156" s="3">
        <v>2</v>
      </c>
      <c r="N156" s="5">
        <v>155</v>
      </c>
      <c r="O156" s="18"/>
      <c r="P156" s="17"/>
    </row>
    <row r="157" spans="1:16" x14ac:dyDescent="0.35">
      <c r="A157" s="7" t="s">
        <v>247</v>
      </c>
      <c r="B157" s="7" t="s">
        <v>500</v>
      </c>
      <c r="C157" s="7" t="s">
        <v>287</v>
      </c>
      <c r="D157" s="7"/>
      <c r="E157" s="7"/>
      <c r="F157" s="7"/>
      <c r="G157" s="11">
        <v>0.1</v>
      </c>
      <c r="H157" s="8">
        <v>31</v>
      </c>
      <c r="I157" s="22">
        <v>3.104833356407198E-3</v>
      </c>
      <c r="J157" s="7">
        <v>4.6518019833653576E-3</v>
      </c>
      <c r="K157" s="7">
        <v>300</v>
      </c>
      <c r="L157" s="7">
        <v>2</v>
      </c>
      <c r="M157" s="7"/>
      <c r="N157" s="8">
        <v>156</v>
      </c>
      <c r="O157" s="18"/>
      <c r="P157" s="17"/>
    </row>
    <row r="158" spans="1:16" x14ac:dyDescent="0.35">
      <c r="A158" s="3" t="s">
        <v>248</v>
      </c>
      <c r="B158" s="3" t="s">
        <v>501</v>
      </c>
      <c r="C158" s="3" t="s">
        <v>502</v>
      </c>
      <c r="G158" s="4">
        <v>7.5600000000000156</v>
      </c>
      <c r="H158" s="17">
        <v>6.0285468158134312E-4</v>
      </c>
      <c r="I158" s="17">
        <v>6.0285468158134312E-4</v>
      </c>
      <c r="J158" s="3">
        <f>I158*0.8</f>
        <v>4.822837452650745E-4</v>
      </c>
      <c r="K158" s="3">
        <f>I158*1.2</f>
        <v>7.2342561789761175E-4</v>
      </c>
      <c r="L158" s="3">
        <v>2</v>
      </c>
      <c r="N158" s="5">
        <v>157</v>
      </c>
      <c r="O158" s="18"/>
      <c r="P158" s="17"/>
    </row>
    <row r="159" spans="1:16" x14ac:dyDescent="0.35">
      <c r="A159" s="3" t="s">
        <v>339</v>
      </c>
      <c r="B159" s="3" t="s">
        <v>503</v>
      </c>
      <c r="C159" s="3" t="s">
        <v>504</v>
      </c>
      <c r="G159" s="4">
        <v>28.63</v>
      </c>
      <c r="H159" s="17">
        <v>1.2435366431857E-3</v>
      </c>
      <c r="I159" s="17">
        <v>1.2435366431857E-3</v>
      </c>
      <c r="J159" s="3">
        <v>1.0937488385673129E-3</v>
      </c>
      <c r="K159" s="3">
        <v>1.640623257850969E-3</v>
      </c>
      <c r="L159" s="3">
        <v>2</v>
      </c>
      <c r="N159" s="5">
        <v>158</v>
      </c>
      <c r="O159" s="18"/>
      <c r="P159" s="17"/>
    </row>
    <row r="160" spans="1:16" x14ac:dyDescent="0.35">
      <c r="A160" s="3" t="s">
        <v>340</v>
      </c>
      <c r="B160" s="3" t="s">
        <v>504</v>
      </c>
      <c r="C160" s="3" t="s">
        <v>505</v>
      </c>
      <c r="G160" s="4">
        <v>28.73</v>
      </c>
      <c r="H160" s="17">
        <v>8.9688197397827041E-4</v>
      </c>
      <c r="I160" s="17">
        <v>8.9688197397827041E-4</v>
      </c>
      <c r="J160" s="3">
        <v>4.4844098698913521E-4</v>
      </c>
      <c r="K160" s="3">
        <v>7.3104073536761523E-3</v>
      </c>
      <c r="L160" s="3">
        <v>2</v>
      </c>
      <c r="N160" s="5">
        <v>159</v>
      </c>
      <c r="O160" s="18"/>
      <c r="P160" s="17"/>
    </row>
    <row r="161" spans="1:16" x14ac:dyDescent="0.35">
      <c r="A161" s="3" t="s">
        <v>341</v>
      </c>
      <c r="B161" s="3" t="s">
        <v>506</v>
      </c>
      <c r="C161" s="3" t="s">
        <v>507</v>
      </c>
      <c r="D161" s="3">
        <v>43.97</v>
      </c>
      <c r="E161" s="3">
        <v>43.97</v>
      </c>
      <c r="F161" s="3">
        <v>43.97</v>
      </c>
      <c r="G161" s="4">
        <v>43.97</v>
      </c>
      <c r="H161" s="17">
        <v>5.0003926088237958E-4</v>
      </c>
      <c r="I161" s="17">
        <v>5.0003926088237958E-4</v>
      </c>
      <c r="J161" s="3">
        <v>4.2131234346448718E-4</v>
      </c>
      <c r="K161" s="3">
        <v>6.3196851519673066E-4</v>
      </c>
      <c r="L161" s="3">
        <v>2</v>
      </c>
      <c r="N161" s="5">
        <v>160</v>
      </c>
      <c r="O161" s="18"/>
      <c r="P161" s="17"/>
    </row>
    <row r="162" spans="1:16" x14ac:dyDescent="0.35">
      <c r="A162" s="3" t="s">
        <v>342</v>
      </c>
      <c r="B162" s="3" t="s">
        <v>507</v>
      </c>
      <c r="C162" s="3" t="s">
        <v>508</v>
      </c>
      <c r="D162" s="3">
        <v>52.61</v>
      </c>
      <c r="E162" s="3">
        <v>52.61</v>
      </c>
      <c r="F162" s="3">
        <v>52.61</v>
      </c>
      <c r="G162" s="4">
        <v>52.61</v>
      </c>
      <c r="H162" s="17">
        <v>1.0514378748049699E-3</v>
      </c>
      <c r="I162" s="17">
        <v>1.0514378748049699E-3</v>
      </c>
      <c r="J162" s="3">
        <v>4.4614495310632996E-4</v>
      </c>
      <c r="K162" s="3">
        <v>6.6921742965949489E-4</v>
      </c>
      <c r="L162" s="3">
        <v>2</v>
      </c>
      <c r="N162" s="5">
        <v>161</v>
      </c>
      <c r="O162" s="18"/>
      <c r="P162" s="17"/>
    </row>
    <row r="163" spans="1:16" x14ac:dyDescent="0.35">
      <c r="A163" s="3" t="s">
        <v>343</v>
      </c>
      <c r="B163" s="3" t="s">
        <v>508</v>
      </c>
      <c r="C163" s="3" t="s">
        <v>509</v>
      </c>
      <c r="G163" s="4">
        <v>52.71</v>
      </c>
      <c r="H163" s="17">
        <v>1.2367420637520649E-3</v>
      </c>
      <c r="I163" s="17">
        <v>1.2367420637520649E-3</v>
      </c>
      <c r="J163" s="3">
        <v>8.7323603059804255E-4</v>
      </c>
      <c r="K163" s="3">
        <v>1.3098540458970638E-3</v>
      </c>
      <c r="L163" s="3">
        <v>2</v>
      </c>
      <c r="N163" s="5">
        <v>162</v>
      </c>
      <c r="O163" s="18"/>
      <c r="P163" s="17"/>
    </row>
    <row r="164" spans="1:16" x14ac:dyDescent="0.35">
      <c r="A164" s="3" t="s">
        <v>344</v>
      </c>
      <c r="B164" s="3" t="s">
        <v>509</v>
      </c>
      <c r="C164" s="3" t="s">
        <v>510</v>
      </c>
      <c r="G164" s="4">
        <v>55.459999999999987</v>
      </c>
      <c r="H164" s="17">
        <v>1.4812822439204999E-3</v>
      </c>
      <c r="I164" s="17">
        <v>1.4812822439204999E-3</v>
      </c>
      <c r="J164" s="3">
        <v>3.3542170281385792E-4</v>
      </c>
      <c r="K164" s="3">
        <v>5.0313255422078688E-4</v>
      </c>
      <c r="L164" s="3">
        <v>2</v>
      </c>
      <c r="N164" s="5">
        <v>163</v>
      </c>
      <c r="O164" s="18"/>
      <c r="P164" s="17"/>
    </row>
    <row r="165" spans="1:16" x14ac:dyDescent="0.35">
      <c r="A165" s="3" t="s">
        <v>345</v>
      </c>
      <c r="B165" s="3" t="s">
        <v>510</v>
      </c>
      <c r="C165" s="3" t="s">
        <v>511</v>
      </c>
      <c r="D165" s="3">
        <v>55.56</v>
      </c>
      <c r="E165" s="3">
        <v>55.56</v>
      </c>
      <c r="F165" s="3">
        <v>55.56</v>
      </c>
      <c r="G165" s="4">
        <v>55.56</v>
      </c>
      <c r="H165" s="17">
        <v>1.150870934007131E-3</v>
      </c>
      <c r="I165" s="17">
        <v>1.150870934007131E-3</v>
      </c>
      <c r="J165" s="3">
        <v>5.0613112654054762E-4</v>
      </c>
      <c r="K165" s="3">
        <v>7.5919668981082138E-4</v>
      </c>
      <c r="L165" s="3">
        <v>2</v>
      </c>
      <c r="N165" s="5">
        <v>164</v>
      </c>
      <c r="O165" s="18"/>
      <c r="P165" s="17"/>
    </row>
    <row r="166" spans="1:16" x14ac:dyDescent="0.35">
      <c r="A166" s="3" t="s">
        <v>346</v>
      </c>
      <c r="B166" s="3" t="s">
        <v>512</v>
      </c>
      <c r="C166" s="3" t="s">
        <v>513</v>
      </c>
      <c r="D166" s="3">
        <v>68.58</v>
      </c>
      <c r="E166" s="3">
        <v>68.58</v>
      </c>
      <c r="F166" s="3">
        <v>68.58</v>
      </c>
      <c r="G166" s="4">
        <v>68.58</v>
      </c>
      <c r="H166" s="17">
        <v>2.9558624311143742E-4</v>
      </c>
      <c r="I166" s="17">
        <v>2.9558624311143742E-4</v>
      </c>
      <c r="J166" s="3">
        <v>1.185555441567792E-4</v>
      </c>
      <c r="K166" s="3">
        <v>1.7783331623516879E-4</v>
      </c>
      <c r="L166" s="3">
        <v>2</v>
      </c>
      <c r="N166" s="5">
        <v>165</v>
      </c>
      <c r="O166" s="18"/>
      <c r="P166" s="17"/>
    </row>
    <row r="167" spans="1:16" x14ac:dyDescent="0.35">
      <c r="A167" s="3" t="s">
        <v>347</v>
      </c>
      <c r="B167" s="3" t="s">
        <v>513</v>
      </c>
      <c r="C167" s="3" t="s">
        <v>514</v>
      </c>
      <c r="D167" s="3">
        <v>78.900000000000006</v>
      </c>
      <c r="E167" s="3">
        <v>78.900000000000006</v>
      </c>
      <c r="F167" s="3">
        <v>78.900000000000006</v>
      </c>
      <c r="G167" s="4">
        <v>78.900000000000006</v>
      </c>
      <c r="H167" s="17">
        <v>2.1315555488110129E-3</v>
      </c>
      <c r="I167" s="17">
        <v>2.1315555488110129E-3</v>
      </c>
      <c r="J167" s="3">
        <v>2.9663340675200804E-3</v>
      </c>
      <c r="K167" s="3">
        <v>4.4495011012801204E-3</v>
      </c>
      <c r="L167" s="3">
        <v>2</v>
      </c>
      <c r="N167" s="5">
        <v>166</v>
      </c>
      <c r="O167" s="18"/>
      <c r="P167" s="17"/>
    </row>
    <row r="168" spans="1:16" x14ac:dyDescent="0.35">
      <c r="A168" s="3" t="s">
        <v>348</v>
      </c>
      <c r="B168" s="3" t="s">
        <v>514</v>
      </c>
      <c r="C168" s="3" t="s">
        <v>515</v>
      </c>
      <c r="D168" s="3">
        <v>91.68</v>
      </c>
      <c r="E168" s="3">
        <v>91.68</v>
      </c>
      <c r="F168" s="3">
        <v>91.68</v>
      </c>
      <c r="G168" s="4">
        <v>91.68</v>
      </c>
      <c r="H168" s="17">
        <v>6.4444556542730795E-4</v>
      </c>
      <c r="I168" s="17">
        <v>6.4444556542730795E-4</v>
      </c>
      <c r="J168" s="3">
        <v>3.2222278271365397E-4</v>
      </c>
      <c r="K168" s="3">
        <v>6.1323082173146064E-4</v>
      </c>
      <c r="L168" s="3">
        <v>2</v>
      </c>
      <c r="N168" s="5">
        <v>167</v>
      </c>
      <c r="O168" s="18"/>
      <c r="P168" s="17"/>
    </row>
    <row r="169" spans="1:16" x14ac:dyDescent="0.35">
      <c r="A169" s="3" t="s">
        <v>349</v>
      </c>
      <c r="B169" s="3" t="s">
        <v>515</v>
      </c>
      <c r="C169" s="3" t="s">
        <v>516</v>
      </c>
      <c r="D169" s="3">
        <v>125.57</v>
      </c>
      <c r="E169" s="3">
        <v>125.57</v>
      </c>
      <c r="F169" s="3">
        <v>125.57</v>
      </c>
      <c r="G169" s="4">
        <v>125.57</v>
      </c>
      <c r="H169" s="17">
        <v>1.967329492716937E-3</v>
      </c>
      <c r="I169" s="17">
        <v>1.967329492716937E-3</v>
      </c>
      <c r="J169" s="3">
        <v>2.9348049971232443E-3</v>
      </c>
      <c r="K169" s="3">
        <v>4.4022074956848655E-3</v>
      </c>
      <c r="L169" s="3">
        <v>2</v>
      </c>
      <c r="N169" s="5">
        <v>168</v>
      </c>
      <c r="O169" s="18"/>
      <c r="P169" s="17"/>
    </row>
    <row r="170" spans="1:16" x14ac:dyDescent="0.35">
      <c r="A170" s="3" t="s">
        <v>250</v>
      </c>
      <c r="B170" s="3" t="s">
        <v>517</v>
      </c>
      <c r="C170" s="3" t="s">
        <v>518</v>
      </c>
      <c r="G170" s="4">
        <v>14.28</v>
      </c>
      <c r="H170" s="17">
        <v>3.9390780921469171E-4</v>
      </c>
      <c r="I170" s="17">
        <v>3.9390780921469171E-4</v>
      </c>
      <c r="J170" s="3">
        <v>1.6156495533231713E-4</v>
      </c>
      <c r="K170" s="3">
        <v>2.4234743299847566E-4</v>
      </c>
      <c r="L170" s="3">
        <v>2</v>
      </c>
      <c r="N170" s="5">
        <v>169</v>
      </c>
      <c r="O170" s="18"/>
      <c r="P170" s="17"/>
    </row>
    <row r="171" spans="1:16" x14ac:dyDescent="0.35">
      <c r="A171" s="3" t="s">
        <v>350</v>
      </c>
      <c r="B171" s="3" t="s">
        <v>519</v>
      </c>
      <c r="C171" s="3" t="s">
        <v>520</v>
      </c>
      <c r="G171" s="4">
        <v>54.835000000000001</v>
      </c>
      <c r="H171" s="17">
        <v>1.522039386006714E-3</v>
      </c>
      <c r="I171" s="17">
        <v>1.522039386006714E-3</v>
      </c>
      <c r="J171" s="3">
        <v>6.42199437681288E-4</v>
      </c>
      <c r="K171" s="3">
        <v>9.6329915652193195E-4</v>
      </c>
      <c r="L171" s="3">
        <v>2</v>
      </c>
      <c r="N171" s="5">
        <v>170</v>
      </c>
      <c r="O171" s="18"/>
      <c r="P171" s="17"/>
    </row>
    <row r="172" spans="1:16" x14ac:dyDescent="0.35">
      <c r="A172" s="3" t="s">
        <v>351</v>
      </c>
      <c r="B172" s="3" t="s">
        <v>521</v>
      </c>
      <c r="C172" s="3" t="s">
        <v>519</v>
      </c>
      <c r="G172" s="4">
        <v>54.734999999999992</v>
      </c>
      <c r="H172" s="17">
        <v>5.846096098989119E-4</v>
      </c>
      <c r="I172" s="17">
        <v>5.846096098989119E-4</v>
      </c>
      <c r="J172" s="3">
        <v>4.3157900899385923E-4</v>
      </c>
      <c r="K172" s="3">
        <v>6.4736851349078879E-4</v>
      </c>
      <c r="L172" s="3">
        <v>2</v>
      </c>
      <c r="N172" s="5">
        <v>171</v>
      </c>
      <c r="O172" s="18"/>
      <c r="P172" s="17"/>
    </row>
    <row r="173" spans="1:16" x14ac:dyDescent="0.35">
      <c r="A173" s="3" t="s">
        <v>352</v>
      </c>
      <c r="B173" s="3" t="s">
        <v>522</v>
      </c>
      <c r="C173" s="3" t="s">
        <v>521</v>
      </c>
      <c r="G173" s="4">
        <v>49.084999999999987</v>
      </c>
      <c r="H173" s="17">
        <v>6.0928218006742099E-4</v>
      </c>
      <c r="I173" s="17">
        <v>6.0928218006742099E-4</v>
      </c>
      <c r="J173" s="3">
        <v>2.4870741741921608E-4</v>
      </c>
      <c r="K173" s="3">
        <v>3.7306112612882413E-4</v>
      </c>
      <c r="L173" s="3">
        <v>2</v>
      </c>
      <c r="N173" s="5">
        <v>172</v>
      </c>
      <c r="O173" s="18"/>
      <c r="P173" s="17"/>
    </row>
    <row r="174" spans="1:16" x14ac:dyDescent="0.35">
      <c r="A174" s="3" t="s">
        <v>1046</v>
      </c>
      <c r="B174" s="3" t="s">
        <v>523</v>
      </c>
      <c r="C174" s="3" t="s">
        <v>522</v>
      </c>
      <c r="G174" s="4">
        <v>53.595000000000013</v>
      </c>
      <c r="H174" s="17">
        <v>1.026029375857835E-3</v>
      </c>
      <c r="I174" s="17">
        <v>1.026029375857835E-3</v>
      </c>
      <c r="J174" s="3">
        <v>5.130146879289175E-4</v>
      </c>
      <c r="K174" s="3">
        <v>2.05205875171567E-3</v>
      </c>
      <c r="L174" s="3">
        <v>2</v>
      </c>
      <c r="N174" s="5">
        <v>173</v>
      </c>
      <c r="O174" s="18"/>
      <c r="P174" s="17"/>
    </row>
    <row r="175" spans="1:16" x14ac:dyDescent="0.35">
      <c r="A175" s="3" t="s">
        <v>1047</v>
      </c>
      <c r="B175" s="3" t="s">
        <v>524</v>
      </c>
      <c r="C175" s="3" t="s">
        <v>523</v>
      </c>
      <c r="G175" s="4">
        <v>34.955000000000013</v>
      </c>
      <c r="H175" s="17">
        <v>3.5566246459511902E-4</v>
      </c>
      <c r="I175" s="17">
        <v>3.5566246459511902E-4</v>
      </c>
      <c r="J175" s="3">
        <v>1.5155104262042267E-4</v>
      </c>
      <c r="K175" s="3">
        <v>2.2732656393063396E-4</v>
      </c>
      <c r="L175" s="3">
        <v>2</v>
      </c>
      <c r="N175" s="5">
        <v>174</v>
      </c>
      <c r="O175" s="18"/>
      <c r="P175" s="17"/>
    </row>
    <row r="176" spans="1:16" x14ac:dyDescent="0.35">
      <c r="A176" s="3" t="s">
        <v>1048</v>
      </c>
      <c r="B176" s="3" t="s">
        <v>463</v>
      </c>
      <c r="C176" s="3" t="s">
        <v>525</v>
      </c>
      <c r="G176" s="4">
        <v>35.695000000000007</v>
      </c>
      <c r="H176" s="17">
        <v>3.39928242282311E-4</v>
      </c>
      <c r="I176" s="17">
        <v>3.39928242282311E-4</v>
      </c>
      <c r="J176" s="3">
        <v>4.9496971034887602E-4</v>
      </c>
      <c r="K176" s="3">
        <v>7.4245456552331386E-4</v>
      </c>
      <c r="L176" s="3">
        <v>2</v>
      </c>
      <c r="N176" s="5">
        <v>175</v>
      </c>
      <c r="O176" s="18"/>
      <c r="P176" s="17"/>
    </row>
    <row r="177" spans="1:16" x14ac:dyDescent="0.35">
      <c r="A177" s="3" t="s">
        <v>1049</v>
      </c>
      <c r="B177" s="3" t="s">
        <v>526</v>
      </c>
      <c r="C177" s="3" t="s">
        <v>525</v>
      </c>
      <c r="G177" s="4">
        <v>4.91</v>
      </c>
      <c r="H177" s="17">
        <v>6.1412869260220619E-4</v>
      </c>
      <c r="I177" s="17">
        <v>6.1412869260220619E-4</v>
      </c>
      <c r="J177" s="3">
        <v>3.7797462603954691E-4</v>
      </c>
      <c r="K177" s="3">
        <v>5.6696193905932026E-4</v>
      </c>
      <c r="L177" s="3">
        <v>2</v>
      </c>
      <c r="N177" s="5">
        <v>176</v>
      </c>
      <c r="O177" s="18"/>
      <c r="P177" s="17"/>
    </row>
    <row r="178" spans="1:16" x14ac:dyDescent="0.35">
      <c r="A178" s="3" t="s">
        <v>1050</v>
      </c>
      <c r="B178" s="3" t="s">
        <v>527</v>
      </c>
      <c r="C178" s="3" t="s">
        <v>528</v>
      </c>
      <c r="G178" s="4">
        <v>5.01</v>
      </c>
      <c r="H178" s="17">
        <v>4.1410407148798609E-4</v>
      </c>
      <c r="I178" s="17">
        <v>4.1410407148798609E-4</v>
      </c>
      <c r="J178" s="3">
        <v>8.3617856683770397E-4</v>
      </c>
      <c r="K178" s="3">
        <v>1.2542678502565558E-3</v>
      </c>
      <c r="L178" s="3">
        <v>2</v>
      </c>
      <c r="N178" s="5">
        <v>177</v>
      </c>
      <c r="O178" s="18"/>
      <c r="P178" s="17"/>
    </row>
    <row r="179" spans="1:16" x14ac:dyDescent="0.35">
      <c r="A179" s="3" t="s">
        <v>1051</v>
      </c>
      <c r="B179" s="3" t="s">
        <v>529</v>
      </c>
      <c r="C179" s="3" t="s">
        <v>527</v>
      </c>
      <c r="G179" s="4">
        <v>31.725000000000019</v>
      </c>
      <c r="H179" s="17">
        <v>9.847443855725232E-4</v>
      </c>
      <c r="I179" s="17">
        <v>9.847443855725232E-4</v>
      </c>
      <c r="J179" s="3">
        <v>5.0295058429731772E-4</v>
      </c>
      <c r="K179" s="3">
        <v>7.5442587644597642E-4</v>
      </c>
      <c r="L179" s="3">
        <v>2</v>
      </c>
      <c r="N179" s="5">
        <v>178</v>
      </c>
      <c r="O179" s="18"/>
      <c r="P179" s="17"/>
    </row>
    <row r="180" spans="1:16" x14ac:dyDescent="0.35">
      <c r="A180" s="3" t="s">
        <v>1052</v>
      </c>
      <c r="B180" s="3" t="s">
        <v>529</v>
      </c>
      <c r="C180" s="3" t="s">
        <v>530</v>
      </c>
      <c r="G180" s="4">
        <v>4.8999999999999986</v>
      </c>
      <c r="H180" s="17">
        <v>3.5552974175589498E-4</v>
      </c>
      <c r="I180" s="17">
        <v>3.5552974175589498E-4</v>
      </c>
      <c r="J180" s="3">
        <f>I180*0.1</f>
        <v>3.5552974175589502E-5</v>
      </c>
      <c r="K180" s="3">
        <f>I180*10</f>
        <v>3.5552974175589499E-3</v>
      </c>
      <c r="L180" s="3">
        <v>2</v>
      </c>
      <c r="N180" s="5">
        <v>179</v>
      </c>
      <c r="O180" s="18"/>
      <c r="P180" s="17"/>
    </row>
    <row r="181" spans="1:16" x14ac:dyDescent="0.35">
      <c r="A181" s="3" t="s">
        <v>1053</v>
      </c>
      <c r="B181" s="3" t="s">
        <v>531</v>
      </c>
      <c r="C181" s="3" t="s">
        <v>529</v>
      </c>
      <c r="G181" s="4">
        <v>36.625000000000007</v>
      </c>
      <c r="H181" s="17">
        <v>1.5328228883698279E-4</v>
      </c>
      <c r="I181" s="17">
        <v>1.5328228883698279E-4</v>
      </c>
      <c r="J181" s="3">
        <v>8.2801432615558891E-5</v>
      </c>
      <c r="K181" s="3">
        <v>1.2420214892333833E-4</v>
      </c>
      <c r="L181" s="3">
        <v>2</v>
      </c>
      <c r="N181" s="5">
        <v>180</v>
      </c>
      <c r="O181" s="18"/>
      <c r="P181" s="17"/>
    </row>
    <row r="182" spans="1:16" x14ac:dyDescent="0.35">
      <c r="A182" s="3" t="s">
        <v>1054</v>
      </c>
      <c r="B182" s="3" t="s">
        <v>532</v>
      </c>
      <c r="C182" s="3" t="s">
        <v>533</v>
      </c>
      <c r="D182" s="3">
        <v>3.73</v>
      </c>
      <c r="E182" s="3">
        <v>3.73</v>
      </c>
      <c r="F182" s="3">
        <v>3.73</v>
      </c>
      <c r="G182" s="4">
        <v>3.73</v>
      </c>
      <c r="H182" s="17">
        <v>6.6002668627869964E-4</v>
      </c>
      <c r="I182" s="17">
        <v>6.6002668627869964E-4</v>
      </c>
      <c r="J182" s="3">
        <f>I182*0.1</f>
        <v>6.6002668627869972E-5</v>
      </c>
      <c r="K182" s="3">
        <f>I182*10</f>
        <v>6.6002668627869968E-3</v>
      </c>
      <c r="L182" s="3">
        <v>2</v>
      </c>
      <c r="N182" s="5">
        <v>181</v>
      </c>
      <c r="O182" s="18"/>
      <c r="P182" s="17"/>
    </row>
    <row r="183" spans="1:16" x14ac:dyDescent="0.35">
      <c r="A183" s="3" t="s">
        <v>1055</v>
      </c>
      <c r="B183" s="3" t="s">
        <v>533</v>
      </c>
      <c r="C183" s="3" t="s">
        <v>534</v>
      </c>
      <c r="D183" s="3">
        <v>7.06</v>
      </c>
      <c r="E183" s="3">
        <v>7.06</v>
      </c>
      <c r="F183" s="3">
        <v>7.06</v>
      </c>
      <c r="G183" s="4">
        <v>7.06</v>
      </c>
      <c r="H183" s="17">
        <v>5.4497208862951607E-4</v>
      </c>
      <c r="I183" s="17">
        <v>5.4497208862951607E-4</v>
      </c>
      <c r="J183" s="3">
        <f>I183*0.1</f>
        <v>5.4497208862951609E-5</v>
      </c>
      <c r="K183" s="3">
        <f>I183*10</f>
        <v>5.4497208862951604E-3</v>
      </c>
      <c r="L183" s="3">
        <v>2</v>
      </c>
      <c r="N183" s="5">
        <v>182</v>
      </c>
      <c r="O183" s="18"/>
      <c r="P183" s="17"/>
    </row>
    <row r="184" spans="1:16" x14ac:dyDescent="0.35">
      <c r="A184" s="3" t="s">
        <v>1056</v>
      </c>
      <c r="B184" s="3" t="s">
        <v>534</v>
      </c>
      <c r="C184" s="3" t="s">
        <v>535</v>
      </c>
      <c r="G184" s="4">
        <v>7.2599999999999989</v>
      </c>
      <c r="H184" s="19">
        <v>2.6299648342106781E-4</v>
      </c>
      <c r="I184" s="19">
        <v>2.6299648342106781E-4</v>
      </c>
      <c r="J184" s="3">
        <v>2.589670595143253E-4</v>
      </c>
      <c r="K184" s="3">
        <v>3.8845058927148792E-4</v>
      </c>
      <c r="L184" s="3">
        <v>2</v>
      </c>
      <c r="N184" s="5">
        <v>183</v>
      </c>
      <c r="O184" s="18"/>
      <c r="P184" s="17"/>
    </row>
    <row r="185" spans="1:16" x14ac:dyDescent="0.35">
      <c r="A185" s="3" t="s">
        <v>1057</v>
      </c>
      <c r="B185" s="3" t="s">
        <v>536</v>
      </c>
      <c r="C185" s="3" t="s">
        <v>537</v>
      </c>
      <c r="G185" s="4">
        <v>9.5400000000000009</v>
      </c>
      <c r="H185" s="17">
        <v>5.9446174342547614E-4</v>
      </c>
      <c r="I185" s="17">
        <v>5.9446174342547614E-4</v>
      </c>
      <c r="J185" s="3">
        <v>5.7737573814227471E-4</v>
      </c>
      <c r="K185" s="3">
        <v>8.6606360721341196E-4</v>
      </c>
      <c r="L185" s="3">
        <v>2</v>
      </c>
      <c r="N185" s="5">
        <v>184</v>
      </c>
      <c r="O185" s="18"/>
      <c r="P185" s="17"/>
    </row>
    <row r="186" spans="1:16" s="14" customFormat="1" x14ac:dyDescent="0.35">
      <c r="A186" s="14" t="s">
        <v>1058</v>
      </c>
      <c r="B186" s="14" t="s">
        <v>538</v>
      </c>
      <c r="C186" s="14" t="s">
        <v>539</v>
      </c>
      <c r="D186" s="3">
        <v>29.27</v>
      </c>
      <c r="E186" s="3">
        <v>29.27</v>
      </c>
      <c r="F186" s="3">
        <v>29.27</v>
      </c>
      <c r="G186" s="4">
        <v>11.27</v>
      </c>
      <c r="H186" s="8">
        <v>0.1</v>
      </c>
      <c r="I186" s="20">
        <v>5.4785841607500781E-4</v>
      </c>
      <c r="J186" s="14">
        <v>1.0957168321500157E-4</v>
      </c>
      <c r="K186" s="14">
        <v>1.0957168321500156E-3</v>
      </c>
      <c r="L186" s="14">
        <v>2</v>
      </c>
      <c r="M186" s="14" t="s">
        <v>2055</v>
      </c>
      <c r="N186" s="5">
        <v>185</v>
      </c>
      <c r="O186" s="21"/>
      <c r="P186" s="20"/>
    </row>
    <row r="187" spans="1:16" x14ac:dyDescent="0.35">
      <c r="A187" s="3" t="s">
        <v>1059</v>
      </c>
      <c r="B187" s="3" t="s">
        <v>539</v>
      </c>
      <c r="C187" s="3" t="s">
        <v>294</v>
      </c>
      <c r="G187" s="4">
        <v>43.604999999999983</v>
      </c>
      <c r="H187" s="17">
        <v>3.4081908099431332E-4</v>
      </c>
      <c r="I187" s="17">
        <v>3.4081908099431332E-4</v>
      </c>
      <c r="J187" s="3">
        <v>1.1429487627798505E-3</v>
      </c>
      <c r="K187" s="3">
        <v>1.7144231441697756E-3</v>
      </c>
      <c r="L187" s="3">
        <v>2</v>
      </c>
      <c r="N187" s="5">
        <v>186</v>
      </c>
      <c r="O187" s="18"/>
      <c r="P187" s="17"/>
    </row>
    <row r="188" spans="1:16" x14ac:dyDescent="0.35">
      <c r="A188" s="3" t="s">
        <v>1060</v>
      </c>
      <c r="B188" s="3" t="s">
        <v>540</v>
      </c>
      <c r="C188" s="3" t="s">
        <v>541</v>
      </c>
      <c r="G188" s="4">
        <v>11.82</v>
      </c>
      <c r="H188" s="19">
        <v>7.3837324125565159E-4</v>
      </c>
      <c r="I188" s="19">
        <v>7.3837324125565159E-4</v>
      </c>
      <c r="J188" s="3">
        <v>2.5471840673439417E-3</v>
      </c>
      <c r="K188" s="3">
        <v>3.8207761010159119E-3</v>
      </c>
      <c r="L188" s="3">
        <v>2</v>
      </c>
      <c r="N188" s="5">
        <v>187</v>
      </c>
      <c r="O188" s="18"/>
      <c r="P188" s="17"/>
    </row>
    <row r="189" spans="1:16" x14ac:dyDescent="0.35">
      <c r="A189" s="3" t="s">
        <v>1061</v>
      </c>
      <c r="B189" s="3" t="s">
        <v>541</v>
      </c>
      <c r="C189" s="3" t="s">
        <v>542</v>
      </c>
      <c r="G189" s="4">
        <v>11.72</v>
      </c>
      <c r="H189" s="19">
        <v>6.439296963809863E-4</v>
      </c>
      <c r="I189" s="19">
        <v>6.439296963809863E-4</v>
      </c>
      <c r="J189" s="3">
        <v>8.6625137826390323E-4</v>
      </c>
      <c r="K189" s="3">
        <v>1.2993770673958547E-3</v>
      </c>
      <c r="L189" s="3">
        <v>2</v>
      </c>
      <c r="N189" s="5">
        <v>188</v>
      </c>
      <c r="O189" s="18"/>
      <c r="P189" s="17"/>
    </row>
    <row r="190" spans="1:16" x14ac:dyDescent="0.35">
      <c r="A190" s="3" t="s">
        <v>1062</v>
      </c>
      <c r="B190" s="3" t="s">
        <v>542</v>
      </c>
      <c r="C190" s="3" t="s">
        <v>543</v>
      </c>
      <c r="D190" s="3">
        <v>11.82</v>
      </c>
      <c r="E190" s="3">
        <v>11.82</v>
      </c>
      <c r="F190" s="3">
        <v>11.82</v>
      </c>
      <c r="G190" s="4">
        <v>11.82</v>
      </c>
      <c r="H190" s="17">
        <v>5.610576496218034E-4</v>
      </c>
      <c r="I190" s="17">
        <v>5.610576496218034E-4</v>
      </c>
      <c r="J190" s="3">
        <v>2.7550786212331347E-4</v>
      </c>
      <c r="K190" s="3">
        <v>4.1326179318497018E-4</v>
      </c>
      <c r="L190" s="3">
        <v>2</v>
      </c>
      <c r="N190" s="5">
        <v>189</v>
      </c>
      <c r="O190" s="18"/>
      <c r="P190" s="17"/>
    </row>
    <row r="191" spans="1:16" x14ac:dyDescent="0.35">
      <c r="A191" s="3" t="s">
        <v>1063</v>
      </c>
      <c r="B191" s="3" t="s">
        <v>543</v>
      </c>
      <c r="C191" s="3" t="s">
        <v>544</v>
      </c>
      <c r="G191" s="4">
        <v>12.684999999999979</v>
      </c>
      <c r="H191" s="17">
        <v>1.337818174004899E-3</v>
      </c>
      <c r="I191" s="17">
        <v>1.337818174004899E-3</v>
      </c>
      <c r="J191" s="3">
        <v>1.1772962517451648E-3</v>
      </c>
      <c r="K191" s="3">
        <v>1.7659443776177469E-3</v>
      </c>
      <c r="L191" s="3">
        <v>2</v>
      </c>
      <c r="N191" s="5">
        <v>190</v>
      </c>
      <c r="O191" s="18"/>
      <c r="P191" s="17"/>
    </row>
    <row r="192" spans="1:16" x14ac:dyDescent="0.35">
      <c r="A192" s="3" t="s">
        <v>1064</v>
      </c>
      <c r="B192" s="3" t="s">
        <v>537</v>
      </c>
      <c r="C192" s="3" t="s">
        <v>545</v>
      </c>
      <c r="D192" s="3">
        <v>9.64</v>
      </c>
      <c r="E192" s="3">
        <v>9.64</v>
      </c>
      <c r="F192" s="3">
        <v>9.64</v>
      </c>
      <c r="G192" s="4">
        <v>9.64</v>
      </c>
      <c r="H192" s="17">
        <v>3.9921390796552719E-4</v>
      </c>
      <c r="I192" s="17">
        <v>3.9921390796552719E-4</v>
      </c>
      <c r="J192" s="3">
        <v>2.31209495237937E-3</v>
      </c>
      <c r="K192" s="3">
        <v>3.4681424285690544E-3</v>
      </c>
      <c r="L192" s="3">
        <v>2</v>
      </c>
      <c r="N192" s="5">
        <v>191</v>
      </c>
      <c r="O192" s="18"/>
      <c r="P192" s="17"/>
    </row>
    <row r="193" spans="1:16" x14ac:dyDescent="0.35">
      <c r="A193" s="3" t="s">
        <v>1065</v>
      </c>
      <c r="B193" s="3" t="s">
        <v>545</v>
      </c>
      <c r="C193" s="3" t="s">
        <v>546</v>
      </c>
      <c r="D193" s="3">
        <v>10.74</v>
      </c>
      <c r="E193" s="3">
        <v>10.74</v>
      </c>
      <c r="F193" s="3">
        <v>10.74</v>
      </c>
      <c r="G193" s="4">
        <v>10.74</v>
      </c>
      <c r="H193" s="17">
        <v>5.5151987332766376E-4</v>
      </c>
      <c r="I193" s="17">
        <v>5.5151987332766376E-4</v>
      </c>
      <c r="J193" s="3">
        <v>5.6168533955915448E-4</v>
      </c>
      <c r="K193" s="3">
        <v>8.4252800933873166E-4</v>
      </c>
      <c r="L193" s="3">
        <v>2</v>
      </c>
      <c r="N193" s="5">
        <v>192</v>
      </c>
      <c r="O193" s="18"/>
      <c r="P193" s="17"/>
    </row>
    <row r="194" spans="1:16" x14ac:dyDescent="0.35">
      <c r="A194" s="3" t="s">
        <v>1066</v>
      </c>
      <c r="B194" s="3" t="s">
        <v>544</v>
      </c>
      <c r="C194" s="3" t="s">
        <v>547</v>
      </c>
      <c r="G194" s="4">
        <v>19.08499999999999</v>
      </c>
      <c r="H194" s="17">
        <v>4.7026394304949451E-4</v>
      </c>
      <c r="I194" s="17">
        <v>4.7026394304949451E-4</v>
      </c>
      <c r="J194" s="3">
        <v>2.4656075043813183E-4</v>
      </c>
      <c r="K194" s="3">
        <v>3.6984112565719774E-4</v>
      </c>
      <c r="L194" s="3">
        <v>2</v>
      </c>
      <c r="N194" s="5">
        <v>193</v>
      </c>
      <c r="O194" s="18"/>
      <c r="P194" s="17"/>
    </row>
    <row r="195" spans="1:16" x14ac:dyDescent="0.35">
      <c r="A195" s="3" t="s">
        <v>1067</v>
      </c>
      <c r="B195" s="3" t="s">
        <v>546</v>
      </c>
      <c r="C195" s="3" t="s">
        <v>548</v>
      </c>
      <c r="G195" s="4">
        <v>13.924999999999971</v>
      </c>
      <c r="H195" s="17">
        <v>4.6647719046052092E-4</v>
      </c>
      <c r="I195" s="17">
        <v>4.6647719046052092E-4</v>
      </c>
      <c r="J195" s="3">
        <v>5.1218479546255179E-4</v>
      </c>
      <c r="K195" s="3">
        <v>7.6827719319382773E-4</v>
      </c>
      <c r="L195" s="3">
        <v>2</v>
      </c>
      <c r="N195" s="5">
        <v>194</v>
      </c>
      <c r="O195" s="18"/>
      <c r="P195" s="17"/>
    </row>
    <row r="196" spans="1:16" x14ac:dyDescent="0.35">
      <c r="A196" s="3" t="s">
        <v>1068</v>
      </c>
      <c r="B196" s="3" t="s">
        <v>547</v>
      </c>
      <c r="C196" s="3" t="s">
        <v>549</v>
      </c>
      <c r="G196" s="4">
        <v>20.27</v>
      </c>
      <c r="H196" s="17">
        <v>5.51018513947895E-4</v>
      </c>
      <c r="I196" s="17">
        <v>5.51018513947895E-4</v>
      </c>
      <c r="J196" s="3">
        <v>1.7991203712744652E-4</v>
      </c>
      <c r="K196" s="3">
        <v>2.6986805569116976E-4</v>
      </c>
      <c r="L196" s="3">
        <v>2</v>
      </c>
      <c r="N196" s="5">
        <v>195</v>
      </c>
      <c r="O196" s="18"/>
      <c r="P196" s="17"/>
    </row>
    <row r="197" spans="1:16" x14ac:dyDescent="0.35">
      <c r="A197" s="3" t="s">
        <v>1069</v>
      </c>
      <c r="B197" s="3" t="s">
        <v>549</v>
      </c>
      <c r="C197" s="3" t="s">
        <v>550</v>
      </c>
      <c r="D197" s="3">
        <v>20.37</v>
      </c>
      <c r="E197" s="3">
        <v>20.37</v>
      </c>
      <c r="F197" s="3">
        <v>20.37</v>
      </c>
      <c r="G197" s="4">
        <v>20.37</v>
      </c>
      <c r="H197" s="17">
        <v>9.9180788600576652E-4</v>
      </c>
      <c r="I197" s="17">
        <v>9.9180788600576652E-4</v>
      </c>
      <c r="J197" s="3">
        <v>1.4419270796462112E-3</v>
      </c>
      <c r="K197" s="3">
        <v>2.1628906194693168E-3</v>
      </c>
      <c r="L197" s="3">
        <v>2</v>
      </c>
      <c r="N197" s="5">
        <v>196</v>
      </c>
      <c r="O197" s="18"/>
      <c r="P197" s="17"/>
    </row>
    <row r="198" spans="1:16" x14ac:dyDescent="0.35">
      <c r="A198" s="3" t="s">
        <v>1070</v>
      </c>
      <c r="B198" s="3" t="s">
        <v>551</v>
      </c>
      <c r="C198" s="3" t="s">
        <v>552</v>
      </c>
      <c r="D198" s="3">
        <v>21.47</v>
      </c>
      <c r="E198" s="3">
        <v>21.47</v>
      </c>
      <c r="F198" s="3">
        <v>21.47</v>
      </c>
      <c r="G198" s="4">
        <v>21.47</v>
      </c>
      <c r="H198" s="17">
        <v>5.8519296202324319E-4</v>
      </c>
      <c r="I198" s="17">
        <v>5.8519296202324319E-4</v>
      </c>
      <c r="J198" s="3">
        <v>2.9259648101162159E-4</v>
      </c>
      <c r="K198" s="3">
        <v>3.1281612089127978E-4</v>
      </c>
      <c r="L198" s="3">
        <v>2</v>
      </c>
      <c r="N198" s="5">
        <v>197</v>
      </c>
      <c r="O198" s="18"/>
      <c r="P198" s="17"/>
    </row>
    <row r="199" spans="1:16" x14ac:dyDescent="0.35">
      <c r="A199" s="3" t="s">
        <v>1071</v>
      </c>
      <c r="B199" s="3" t="s">
        <v>552</v>
      </c>
      <c r="C199" s="3" t="s">
        <v>553</v>
      </c>
      <c r="G199" s="4">
        <v>23.339999999999989</v>
      </c>
      <c r="H199" s="17">
        <v>1.025844844888515E-3</v>
      </c>
      <c r="I199" s="17">
        <v>1.025844844888515E-3</v>
      </c>
      <c r="J199" s="3">
        <v>1.3690494132068227E-4</v>
      </c>
      <c r="K199" s="3">
        <v>2.0535741198102336E-4</v>
      </c>
      <c r="L199" s="3">
        <v>2</v>
      </c>
      <c r="N199" s="5">
        <v>198</v>
      </c>
      <c r="O199" s="18"/>
      <c r="P199" s="17"/>
    </row>
    <row r="200" spans="1:16" x14ac:dyDescent="0.35">
      <c r="A200" s="3" t="s">
        <v>1072</v>
      </c>
      <c r="B200" s="3" t="s">
        <v>550</v>
      </c>
      <c r="C200" s="3" t="s">
        <v>554</v>
      </c>
      <c r="G200" s="4">
        <v>21.890000000000011</v>
      </c>
      <c r="H200" s="17">
        <v>2.3002517787649681E-4</v>
      </c>
      <c r="I200" s="17">
        <v>2.3002517787649681E-4</v>
      </c>
      <c r="J200" s="3">
        <v>3.3606866613445984E-4</v>
      </c>
      <c r="K200" s="3">
        <v>5.0410299920168968E-4</v>
      </c>
      <c r="L200" s="3">
        <v>2</v>
      </c>
      <c r="N200" s="5">
        <v>199</v>
      </c>
      <c r="O200" s="18"/>
      <c r="P200" s="17"/>
    </row>
    <row r="201" spans="1:16" x14ac:dyDescent="0.35">
      <c r="A201" s="3" t="s">
        <v>1073</v>
      </c>
      <c r="B201" s="3" t="s">
        <v>553</v>
      </c>
      <c r="C201" s="3" t="s">
        <v>555</v>
      </c>
      <c r="G201" s="4">
        <v>23.439999999999991</v>
      </c>
      <c r="H201" s="17">
        <v>3.1727367500702859E-4</v>
      </c>
      <c r="I201" s="17">
        <v>3.1727367500702859E-4</v>
      </c>
      <c r="J201" s="3">
        <v>4.9655301811419596E-4</v>
      </c>
      <c r="K201" s="3">
        <v>7.4482952717129383E-4</v>
      </c>
      <c r="L201" s="3">
        <v>2</v>
      </c>
      <c r="N201" s="5">
        <v>200</v>
      </c>
      <c r="O201" s="18"/>
      <c r="P201" s="17"/>
    </row>
    <row r="202" spans="1:16" x14ac:dyDescent="0.35">
      <c r="A202" s="3" t="s">
        <v>1074</v>
      </c>
      <c r="B202" s="3" t="s">
        <v>556</v>
      </c>
      <c r="C202" s="3" t="s">
        <v>557</v>
      </c>
      <c r="D202" s="3">
        <v>9.17</v>
      </c>
      <c r="E202" s="3">
        <v>9.17</v>
      </c>
      <c r="F202" s="3">
        <v>9.17</v>
      </c>
      <c r="G202" s="4">
        <v>9.17</v>
      </c>
      <c r="H202" s="17">
        <v>6.054897936872951E-4</v>
      </c>
      <c r="I202" s="17">
        <v>6.054897936872951E-4</v>
      </c>
      <c r="J202" s="3">
        <v>1.4361243654144751E-3</v>
      </c>
      <c r="K202" s="3">
        <v>2.1541865481217127E-3</v>
      </c>
      <c r="L202" s="3">
        <v>2</v>
      </c>
      <c r="N202" s="5">
        <v>201</v>
      </c>
      <c r="O202" s="18"/>
      <c r="P202" s="17"/>
    </row>
    <row r="203" spans="1:16" x14ac:dyDescent="0.35">
      <c r="A203" s="3" t="s">
        <v>1075</v>
      </c>
      <c r="B203" s="3" t="s">
        <v>556</v>
      </c>
      <c r="C203" s="3" t="s">
        <v>558</v>
      </c>
      <c r="D203" s="3">
        <v>10.86</v>
      </c>
      <c r="E203" s="3">
        <v>10.86</v>
      </c>
      <c r="F203" s="3">
        <v>10.86</v>
      </c>
      <c r="G203" s="4">
        <v>10.86</v>
      </c>
      <c r="H203" s="17">
        <v>2.4142373755784369E-3</v>
      </c>
      <c r="I203" s="17">
        <v>2.4142373755784369E-3</v>
      </c>
      <c r="J203" s="3">
        <v>2.0235412443320214E-3</v>
      </c>
      <c r="K203" s="3">
        <v>3.0353118664980324E-3</v>
      </c>
      <c r="L203" s="3">
        <v>2</v>
      </c>
      <c r="N203" s="5">
        <v>202</v>
      </c>
      <c r="O203" s="18"/>
      <c r="P203" s="17"/>
    </row>
    <row r="204" spans="1:16" x14ac:dyDescent="0.35">
      <c r="A204" s="3" t="s">
        <v>1076</v>
      </c>
      <c r="B204" s="3" t="s">
        <v>554</v>
      </c>
      <c r="C204" s="3" t="s">
        <v>556</v>
      </c>
      <c r="G204" s="4">
        <v>16.63000000000001</v>
      </c>
      <c r="H204" s="17">
        <v>4.5907425112978132E-4</v>
      </c>
      <c r="I204" s="17">
        <v>4.5907425112978132E-4</v>
      </c>
      <c r="J204" s="3">
        <v>3.8808549703044455E-5</v>
      </c>
      <c r="K204" s="3">
        <v>5.8212824554566672E-5</v>
      </c>
      <c r="L204" s="3">
        <v>2</v>
      </c>
      <c r="N204" s="5">
        <v>203</v>
      </c>
      <c r="O204" s="18"/>
      <c r="P204" s="17"/>
    </row>
    <row r="205" spans="1:16" x14ac:dyDescent="0.35">
      <c r="A205" s="3" t="s">
        <v>1077</v>
      </c>
      <c r="B205" s="3" t="s">
        <v>557</v>
      </c>
      <c r="C205" s="3" t="s">
        <v>559</v>
      </c>
      <c r="G205" s="4">
        <v>12.77</v>
      </c>
      <c r="H205" s="17">
        <v>3.8383911946127672E-4</v>
      </c>
      <c r="I205" s="17">
        <v>3.8383911946127672E-4</v>
      </c>
      <c r="J205" s="3">
        <v>7.3912350971221669E-5</v>
      </c>
      <c r="K205" s="3">
        <v>1.1086852645683248E-4</v>
      </c>
      <c r="L205" s="3">
        <v>2</v>
      </c>
      <c r="N205" s="5">
        <v>204</v>
      </c>
      <c r="O205" s="18"/>
      <c r="P205" s="17"/>
    </row>
    <row r="206" spans="1:16" x14ac:dyDescent="0.35">
      <c r="A206" s="3" t="s">
        <v>1078</v>
      </c>
      <c r="B206" s="3" t="s">
        <v>560</v>
      </c>
      <c r="C206" s="3" t="s">
        <v>561</v>
      </c>
      <c r="D206" s="3">
        <v>12.73</v>
      </c>
      <c r="E206" s="3">
        <v>12.73</v>
      </c>
      <c r="F206" s="3">
        <v>12.73</v>
      </c>
      <c r="G206" s="4">
        <v>12.73</v>
      </c>
      <c r="H206" s="17">
        <v>4.155197504182707E-4</v>
      </c>
      <c r="I206" s="17">
        <v>4.155197504182707E-4</v>
      </c>
      <c r="J206" s="3">
        <v>1.6988176795662777E-4</v>
      </c>
      <c r="K206" s="3">
        <v>2.5482265193494161E-4</v>
      </c>
      <c r="L206" s="3">
        <v>2</v>
      </c>
      <c r="N206" s="5">
        <v>205</v>
      </c>
      <c r="O206" s="18"/>
      <c r="P206" s="17"/>
    </row>
    <row r="207" spans="1:16" x14ac:dyDescent="0.35">
      <c r="A207" s="3" t="s">
        <v>1079</v>
      </c>
      <c r="B207" s="3" t="s">
        <v>555</v>
      </c>
      <c r="C207" s="3" t="s">
        <v>560</v>
      </c>
      <c r="G207" s="4">
        <v>12.63</v>
      </c>
      <c r="H207" s="17">
        <v>5.5723145562660355E-4</v>
      </c>
      <c r="I207" s="17">
        <v>5.5723145562660355E-4</v>
      </c>
      <c r="J207" s="3">
        <v>1.3304507031672313E-4</v>
      </c>
      <c r="K207" s="3">
        <v>1.9956760547508467E-4</v>
      </c>
      <c r="L207" s="3">
        <v>2</v>
      </c>
      <c r="N207" s="5">
        <v>206</v>
      </c>
      <c r="O207" s="18"/>
      <c r="P207" s="17"/>
    </row>
    <row r="208" spans="1:16" x14ac:dyDescent="0.35">
      <c r="A208" s="3" t="s">
        <v>1080</v>
      </c>
      <c r="B208" s="3" t="s">
        <v>562</v>
      </c>
      <c r="C208" s="3" t="s">
        <v>563</v>
      </c>
      <c r="G208" s="4">
        <v>15.48</v>
      </c>
      <c r="H208" s="17">
        <v>8.9107450721605556E-4</v>
      </c>
      <c r="I208" s="17">
        <v>8.9107450721605556E-4</v>
      </c>
      <c r="J208" s="3">
        <v>1.0421977607113567E-4</v>
      </c>
      <c r="K208" s="3">
        <v>1.5632966410670349E-4</v>
      </c>
      <c r="L208" s="3">
        <v>2</v>
      </c>
      <c r="N208" s="5">
        <v>207</v>
      </c>
      <c r="O208" s="18"/>
      <c r="P208" s="17"/>
    </row>
    <row r="209" spans="1:16" x14ac:dyDescent="0.35">
      <c r="A209" s="3" t="s">
        <v>1081</v>
      </c>
      <c r="B209" s="3" t="s">
        <v>564</v>
      </c>
      <c r="C209" s="3" t="s">
        <v>565</v>
      </c>
      <c r="G209" s="4">
        <v>39.630000000000003</v>
      </c>
      <c r="H209" s="17">
        <v>5.3834626022302822E-4</v>
      </c>
      <c r="I209" s="17">
        <v>5.3834626022302822E-4</v>
      </c>
      <c r="J209" s="3">
        <f>I209*0.8</f>
        <v>4.3067700817842259E-4</v>
      </c>
      <c r="K209" s="3">
        <f>I209*1.2</f>
        <v>6.460155122676338E-4</v>
      </c>
      <c r="L209" s="3">
        <v>2</v>
      </c>
      <c r="N209" s="5">
        <v>208</v>
      </c>
      <c r="O209" s="18"/>
      <c r="P209" s="17"/>
    </row>
    <row r="210" spans="1:16" x14ac:dyDescent="0.35">
      <c r="A210" s="3" t="s">
        <v>1082</v>
      </c>
      <c r="B210" s="3" t="s">
        <v>559</v>
      </c>
      <c r="C210" s="3" t="s">
        <v>564</v>
      </c>
      <c r="G210" s="4">
        <v>8.57</v>
      </c>
      <c r="H210" s="17">
        <v>2.7911750813667402E-4</v>
      </c>
      <c r="I210" s="17">
        <v>2.7911750813667402E-4</v>
      </c>
      <c r="J210" s="3">
        <v>1.4627431840278824E-4</v>
      </c>
      <c r="K210" s="3">
        <v>2.1941147760418236E-4</v>
      </c>
      <c r="L210" s="3">
        <v>2</v>
      </c>
      <c r="N210" s="5">
        <v>209</v>
      </c>
      <c r="O210" s="18"/>
      <c r="P210" s="17"/>
    </row>
    <row r="211" spans="1:16" x14ac:dyDescent="0.35">
      <c r="A211" s="3" t="s">
        <v>1083</v>
      </c>
      <c r="B211" s="3" t="s">
        <v>563</v>
      </c>
      <c r="C211" s="3" t="s">
        <v>566</v>
      </c>
      <c r="G211" s="4">
        <v>15.81</v>
      </c>
      <c r="H211" s="17">
        <v>3.4548215930256038E-4</v>
      </c>
      <c r="I211" s="17">
        <v>3.4548215930256038E-4</v>
      </c>
      <c r="J211" s="3">
        <v>1.482557715278569E-4</v>
      </c>
      <c r="K211" s="3">
        <v>2.2238365729178531E-4</v>
      </c>
      <c r="L211" s="3">
        <v>2</v>
      </c>
      <c r="N211" s="5">
        <v>210</v>
      </c>
      <c r="O211" s="18"/>
      <c r="P211" s="17"/>
    </row>
    <row r="212" spans="1:16" x14ac:dyDescent="0.35">
      <c r="A212" s="3" t="s">
        <v>1084</v>
      </c>
      <c r="B212" s="3" t="s">
        <v>566</v>
      </c>
      <c r="C212" s="3" t="s">
        <v>567</v>
      </c>
      <c r="D212" s="3">
        <v>21.48</v>
      </c>
      <c r="E212" s="3">
        <v>21.48</v>
      </c>
      <c r="F212" s="3">
        <v>21.48</v>
      </c>
      <c r="G212" s="4">
        <v>21.48</v>
      </c>
      <c r="H212" s="17">
        <v>8.690371876181141E-4</v>
      </c>
      <c r="I212" s="17">
        <v>8.690371876181141E-4</v>
      </c>
      <c r="J212" s="3">
        <v>4.4849192277031347E-4</v>
      </c>
      <c r="K212" s="3">
        <v>6.7273788415547016E-4</v>
      </c>
      <c r="L212" s="3">
        <v>2</v>
      </c>
      <c r="N212" s="5">
        <v>211</v>
      </c>
      <c r="O212" s="18"/>
      <c r="P212" s="17"/>
    </row>
    <row r="213" spans="1:16" x14ac:dyDescent="0.35">
      <c r="A213" s="3" t="s">
        <v>1085</v>
      </c>
      <c r="B213" s="3" t="s">
        <v>568</v>
      </c>
      <c r="C213" s="3" t="s">
        <v>569</v>
      </c>
      <c r="G213" s="4">
        <v>0.1</v>
      </c>
      <c r="H213" s="17">
        <v>5.4499715092370966E-3</v>
      </c>
      <c r="I213" s="17">
        <v>5.4499715092370966E-3</v>
      </c>
      <c r="J213" s="3">
        <v>4.3599772073896776E-3</v>
      </c>
      <c r="K213" s="3">
        <v>6.5399658110845155E-3</v>
      </c>
      <c r="L213" s="3">
        <v>2</v>
      </c>
      <c r="N213" s="5">
        <v>212</v>
      </c>
      <c r="O213" s="18"/>
      <c r="P213" s="17"/>
    </row>
    <row r="214" spans="1:16" x14ac:dyDescent="0.35">
      <c r="A214" s="3" t="s">
        <v>1086</v>
      </c>
      <c r="B214" s="3" t="s">
        <v>570</v>
      </c>
      <c r="C214" s="3" t="s">
        <v>571</v>
      </c>
      <c r="D214" s="3">
        <v>22.83</v>
      </c>
      <c r="E214" s="3">
        <v>22.83</v>
      </c>
      <c r="F214" s="3">
        <v>22.83</v>
      </c>
      <c r="G214" s="4">
        <v>22.83</v>
      </c>
      <c r="H214" s="17">
        <v>3.9905581920942007E-4</v>
      </c>
      <c r="I214" s="17">
        <v>3.9905581920942007E-4</v>
      </c>
      <c r="J214" s="3">
        <f>I214*0.8</f>
        <v>3.1924465536753606E-4</v>
      </c>
      <c r="K214" s="3">
        <f>I214*1.2</f>
        <v>4.7886698305130409E-4</v>
      </c>
      <c r="L214" s="3">
        <v>2</v>
      </c>
      <c r="N214" s="5">
        <v>213</v>
      </c>
      <c r="O214" s="18"/>
      <c r="P214" s="17"/>
    </row>
    <row r="215" spans="1:16" x14ac:dyDescent="0.35">
      <c r="A215" s="3" t="s">
        <v>1087</v>
      </c>
      <c r="B215" s="3" t="s">
        <v>567</v>
      </c>
      <c r="C215" s="3" t="s">
        <v>572</v>
      </c>
      <c r="D215" s="3">
        <v>17.71</v>
      </c>
      <c r="E215" s="3">
        <v>17.71</v>
      </c>
      <c r="F215" s="3">
        <v>17.71</v>
      </c>
      <c r="G215" s="4">
        <v>17.71</v>
      </c>
      <c r="H215" s="17">
        <v>6.1241138224425761E-4</v>
      </c>
      <c r="I215" s="17">
        <v>6.1241138224425761E-4</v>
      </c>
      <c r="J215" s="3">
        <v>1.1846788960945232E-4</v>
      </c>
      <c r="K215" s="3">
        <v>1.7770183441417848E-4</v>
      </c>
      <c r="L215" s="3">
        <v>2</v>
      </c>
      <c r="N215" s="5">
        <v>214</v>
      </c>
      <c r="O215" s="18"/>
      <c r="P215" s="17"/>
    </row>
    <row r="216" spans="1:16" x14ac:dyDescent="0.35">
      <c r="A216" s="3" t="s">
        <v>1088</v>
      </c>
      <c r="B216" s="3" t="s">
        <v>573</v>
      </c>
      <c r="C216" s="3" t="s">
        <v>574</v>
      </c>
      <c r="D216" s="3">
        <v>21.79</v>
      </c>
      <c r="E216" s="3">
        <v>21.79</v>
      </c>
      <c r="F216" s="3">
        <v>21.79</v>
      </c>
      <c r="G216" s="4">
        <v>21.79</v>
      </c>
      <c r="H216" s="17">
        <v>4.0470756499596459E-4</v>
      </c>
      <c r="I216" s="17">
        <v>4.0470756499596459E-4</v>
      </c>
      <c r="J216" s="3">
        <v>2.2134096454636072E-4</v>
      </c>
      <c r="K216" s="3">
        <v>3.3201144681954106E-4</v>
      </c>
      <c r="L216" s="3">
        <v>2</v>
      </c>
      <c r="N216" s="5">
        <v>215</v>
      </c>
      <c r="O216" s="18"/>
      <c r="P216" s="17"/>
    </row>
    <row r="217" spans="1:16" x14ac:dyDescent="0.35">
      <c r="A217" s="3" t="s">
        <v>1089</v>
      </c>
      <c r="B217" s="3" t="s">
        <v>575</v>
      </c>
      <c r="C217" s="3" t="s">
        <v>576</v>
      </c>
      <c r="D217" s="3">
        <v>12.83</v>
      </c>
      <c r="E217" s="3">
        <v>12.83</v>
      </c>
      <c r="F217" s="3">
        <v>12.83</v>
      </c>
      <c r="G217" s="4">
        <v>12.83</v>
      </c>
      <c r="H217" s="17">
        <v>6.2361259439352068E-4</v>
      </c>
      <c r="I217" s="17">
        <v>6.2361259439352068E-4</v>
      </c>
      <c r="J217" s="3">
        <v>4.7691842874312987E-4</v>
      </c>
      <c r="K217" s="3">
        <v>7.1537764311469475E-4</v>
      </c>
      <c r="L217" s="3">
        <v>2</v>
      </c>
      <c r="N217" s="5">
        <v>216</v>
      </c>
      <c r="O217" s="18"/>
      <c r="P217" s="17"/>
    </row>
    <row r="218" spans="1:16" x14ac:dyDescent="0.35">
      <c r="A218" s="3" t="s">
        <v>1090</v>
      </c>
      <c r="B218" s="3" t="s">
        <v>571</v>
      </c>
      <c r="C218" s="3" t="s">
        <v>575</v>
      </c>
      <c r="G218" s="4">
        <v>9.9300000000000015</v>
      </c>
      <c r="H218" s="19">
        <v>4.5028607687238518E-4</v>
      </c>
      <c r="I218" s="19">
        <v>4.5028607687238518E-4</v>
      </c>
      <c r="J218" s="3">
        <v>1.4461029983047833E-3</v>
      </c>
      <c r="K218" s="3">
        <v>2.1691544974571748E-3</v>
      </c>
      <c r="L218" s="3">
        <v>2</v>
      </c>
      <c r="N218" s="5">
        <v>217</v>
      </c>
      <c r="O218" s="18"/>
      <c r="P218" s="17"/>
    </row>
    <row r="219" spans="1:16" x14ac:dyDescent="0.35">
      <c r="A219" s="3" t="s">
        <v>1091</v>
      </c>
      <c r="B219" s="3" t="s">
        <v>576</v>
      </c>
      <c r="C219" s="3" t="s">
        <v>577</v>
      </c>
      <c r="G219" s="4">
        <v>20.98</v>
      </c>
      <c r="H219" s="17">
        <v>5.9706300141233965E-4</v>
      </c>
      <c r="I219" s="17">
        <v>5.9706300141233965E-4</v>
      </c>
      <c r="J219" s="3">
        <v>2.9599128148847598E-4</v>
      </c>
      <c r="K219" s="3">
        <v>4.4398692223271386E-4</v>
      </c>
      <c r="L219" s="3">
        <v>2</v>
      </c>
      <c r="N219" s="5">
        <v>218</v>
      </c>
      <c r="O219" s="18"/>
      <c r="P219" s="17"/>
    </row>
    <row r="220" spans="1:16" x14ac:dyDescent="0.35">
      <c r="A220" s="3" t="s">
        <v>1092</v>
      </c>
      <c r="B220" s="3" t="s">
        <v>578</v>
      </c>
      <c r="C220" s="3" t="s">
        <v>579</v>
      </c>
      <c r="G220" s="4">
        <v>23.239999999999991</v>
      </c>
      <c r="H220" s="17">
        <v>7.9199430684157458E-4</v>
      </c>
      <c r="I220" s="17">
        <v>7.9199430684157458E-4</v>
      </c>
      <c r="J220" s="3">
        <v>3.7448623382178511E-4</v>
      </c>
      <c r="K220" s="3">
        <v>5.6172935073267767E-4</v>
      </c>
      <c r="L220" s="3">
        <v>2</v>
      </c>
      <c r="N220" s="5">
        <v>219</v>
      </c>
      <c r="O220" s="18"/>
      <c r="P220" s="17"/>
    </row>
    <row r="221" spans="1:16" x14ac:dyDescent="0.35">
      <c r="A221" s="3" t="s">
        <v>1093</v>
      </c>
      <c r="B221" s="3" t="s">
        <v>580</v>
      </c>
      <c r="C221" s="3" t="s">
        <v>581</v>
      </c>
      <c r="D221" s="3">
        <v>10.28</v>
      </c>
      <c r="E221" s="3">
        <v>10.28</v>
      </c>
      <c r="F221" s="3">
        <v>10.28</v>
      </c>
      <c r="G221" s="4">
        <v>10.28</v>
      </c>
      <c r="H221" s="17">
        <v>2.4832500003188712E-4</v>
      </c>
      <c r="I221" s="17">
        <v>2.4832500003188712E-4</v>
      </c>
      <c r="J221" s="3">
        <f>I221*0.1</f>
        <v>2.4832500003188713E-5</v>
      </c>
      <c r="K221" s="3">
        <f>I221*10</f>
        <v>2.483250000318871E-3</v>
      </c>
      <c r="L221" s="3">
        <v>2</v>
      </c>
      <c r="N221" s="5">
        <v>220</v>
      </c>
      <c r="O221" s="18"/>
      <c r="P221" s="17"/>
    </row>
    <row r="222" spans="1:16" x14ac:dyDescent="0.35">
      <c r="A222" s="3" t="s">
        <v>1094</v>
      </c>
      <c r="B222" s="3" t="s">
        <v>577</v>
      </c>
      <c r="C222" s="3" t="s">
        <v>580</v>
      </c>
      <c r="G222" s="4">
        <v>7.8899999999999988</v>
      </c>
      <c r="H222" s="17">
        <v>4.7066764167110039E-4</v>
      </c>
      <c r="I222" s="17">
        <v>4.7066764167110039E-4</v>
      </c>
      <c r="J222" s="3">
        <f>I222*0.1</f>
        <v>4.7066764167110042E-5</v>
      </c>
      <c r="K222" s="3">
        <f>I222*10</f>
        <v>4.7066764167110042E-3</v>
      </c>
      <c r="L222" s="3">
        <v>2</v>
      </c>
      <c r="N222" s="5">
        <v>221</v>
      </c>
      <c r="O222" s="18"/>
      <c r="P222" s="17"/>
    </row>
    <row r="223" spans="1:16" x14ac:dyDescent="0.35">
      <c r="A223" s="3" t="s">
        <v>1095</v>
      </c>
      <c r="B223" s="3" t="s">
        <v>581</v>
      </c>
      <c r="C223" s="3" t="s">
        <v>582</v>
      </c>
      <c r="G223" s="4">
        <v>13.28</v>
      </c>
      <c r="H223" s="17">
        <v>6.520360318132771E-4</v>
      </c>
      <c r="I223" s="17">
        <v>6.520360318132771E-4</v>
      </c>
      <c r="J223" s="3">
        <f>I223*0.1</f>
        <v>6.5203603181327713E-5</v>
      </c>
      <c r="K223" s="3">
        <f>I223*10</f>
        <v>6.5203603181327712E-3</v>
      </c>
      <c r="L223" s="3">
        <v>2</v>
      </c>
      <c r="N223" s="5">
        <v>222</v>
      </c>
      <c r="O223" s="18"/>
      <c r="P223" s="17"/>
    </row>
    <row r="224" spans="1:16" x14ac:dyDescent="0.35">
      <c r="A224" s="3" t="s">
        <v>1096</v>
      </c>
      <c r="B224" s="3" t="s">
        <v>583</v>
      </c>
      <c r="C224" s="3" t="s">
        <v>584</v>
      </c>
      <c r="G224" s="4">
        <v>7.5099999999999891</v>
      </c>
      <c r="H224" s="17">
        <v>7.0463568888553554E-4</v>
      </c>
      <c r="I224" s="17">
        <v>7.0463568888553554E-4</v>
      </c>
      <c r="J224" s="3">
        <f>I224*0.1</f>
        <v>7.0463568888553554E-5</v>
      </c>
      <c r="K224" s="3">
        <f>I224*10</f>
        <v>7.0463568888553558E-3</v>
      </c>
      <c r="L224" s="3">
        <v>2</v>
      </c>
      <c r="N224" s="5">
        <v>223</v>
      </c>
      <c r="O224" s="18"/>
      <c r="P224" s="17"/>
    </row>
    <row r="225" spans="1:16" x14ac:dyDescent="0.35">
      <c r="A225" s="3" t="s">
        <v>1097</v>
      </c>
      <c r="B225" s="3" t="s">
        <v>585</v>
      </c>
      <c r="C225" s="3" t="s">
        <v>586</v>
      </c>
      <c r="D225" s="3">
        <v>22.8</v>
      </c>
      <c r="E225" s="3">
        <v>22.8</v>
      </c>
      <c r="F225" s="3">
        <v>22.8</v>
      </c>
      <c r="G225" s="4">
        <v>22.8</v>
      </c>
      <c r="H225" s="17">
        <v>6.3834660730227783E-4</v>
      </c>
      <c r="I225" s="17">
        <v>6.3834660730227783E-4</v>
      </c>
      <c r="J225" s="3">
        <v>3.6186984130644477E-4</v>
      </c>
      <c r="K225" s="3">
        <v>5.4280476195966705E-4</v>
      </c>
      <c r="L225" s="3">
        <v>2</v>
      </c>
      <c r="N225" s="5">
        <v>224</v>
      </c>
      <c r="O225" s="18"/>
      <c r="P225" s="17"/>
    </row>
    <row r="226" spans="1:16" x14ac:dyDescent="0.35">
      <c r="A226" s="3" t="s">
        <v>1098</v>
      </c>
      <c r="B226" s="3" t="s">
        <v>582</v>
      </c>
      <c r="C226" s="3" t="s">
        <v>585</v>
      </c>
      <c r="G226" s="4">
        <v>1.1700000000000019</v>
      </c>
      <c r="H226" s="19">
        <v>6.0719105406439107E-4</v>
      </c>
      <c r="I226" s="19">
        <v>6.0719105406439107E-4</v>
      </c>
      <c r="J226" s="3">
        <v>4.8575284325151288E-4</v>
      </c>
      <c r="K226" s="3">
        <v>7.2862926487726927E-4</v>
      </c>
      <c r="L226" s="3">
        <v>2</v>
      </c>
      <c r="N226" s="5">
        <v>225</v>
      </c>
      <c r="O226" s="18"/>
      <c r="P226" s="17"/>
    </row>
    <row r="227" spans="1:16" x14ac:dyDescent="0.35">
      <c r="A227" s="3" t="s">
        <v>1099</v>
      </c>
      <c r="B227" s="3" t="s">
        <v>584</v>
      </c>
      <c r="C227" s="3" t="s">
        <v>587</v>
      </c>
      <c r="D227" s="3">
        <v>5.69</v>
      </c>
      <c r="E227" s="3">
        <v>5.69</v>
      </c>
      <c r="F227" s="3">
        <v>5.69</v>
      </c>
      <c r="G227" s="4">
        <v>5.69</v>
      </c>
      <c r="H227" s="17">
        <v>3.656877947612817E-3</v>
      </c>
      <c r="I227" s="17">
        <v>3.656877947612817E-3</v>
      </c>
      <c r="J227" s="3">
        <v>7.8401232962747886E-3</v>
      </c>
      <c r="K227" s="3">
        <v>1.1760184944412182E-2</v>
      </c>
      <c r="L227" s="3">
        <v>2</v>
      </c>
      <c r="N227" s="5">
        <v>226</v>
      </c>
      <c r="O227" s="18"/>
      <c r="P227" s="17"/>
    </row>
    <row r="228" spans="1:16" x14ac:dyDescent="0.35">
      <c r="A228" s="3" t="s">
        <v>1100</v>
      </c>
      <c r="B228" s="3" t="s">
        <v>586</v>
      </c>
      <c r="C228" s="3" t="s">
        <v>496</v>
      </c>
      <c r="G228" s="4">
        <v>24.82</v>
      </c>
      <c r="H228" s="19">
        <v>1.8291169190722871E-2</v>
      </c>
      <c r="I228" s="19">
        <v>1.8291169190722871E-2</v>
      </c>
      <c r="J228" s="3">
        <v>7.3833295224085375E-3</v>
      </c>
      <c r="K228" s="3">
        <v>1.1074994283612805E-2</v>
      </c>
      <c r="L228" s="3">
        <v>2</v>
      </c>
      <c r="N228" s="5">
        <v>227</v>
      </c>
      <c r="O228" s="18"/>
      <c r="P228" s="17"/>
    </row>
    <row r="229" spans="1:16" x14ac:dyDescent="0.35">
      <c r="A229" s="3" t="s">
        <v>1101</v>
      </c>
      <c r="B229" s="3" t="s">
        <v>528</v>
      </c>
      <c r="C229" s="3" t="s">
        <v>588</v>
      </c>
      <c r="D229" s="3">
        <v>4.91</v>
      </c>
      <c r="E229" s="3">
        <v>4.91</v>
      </c>
      <c r="F229" s="3">
        <v>4.91</v>
      </c>
      <c r="G229" s="4">
        <v>4.91</v>
      </c>
      <c r="H229" s="19">
        <v>4.2302270566996338E-4</v>
      </c>
      <c r="I229" s="19">
        <v>4.2302270566996338E-4</v>
      </c>
      <c r="J229" s="3">
        <f>I229*0.1</f>
        <v>4.2302270566996341E-5</v>
      </c>
      <c r="K229" s="3">
        <f>I229*10</f>
        <v>4.2302270566996342E-3</v>
      </c>
      <c r="L229" s="3">
        <v>2</v>
      </c>
      <c r="N229" s="5">
        <v>228</v>
      </c>
      <c r="O229" s="18"/>
      <c r="P229" s="17"/>
    </row>
    <row r="230" spans="1:16" x14ac:dyDescent="0.35">
      <c r="A230" s="34" t="s">
        <v>1102</v>
      </c>
      <c r="B230" s="34" t="s">
        <v>558</v>
      </c>
      <c r="C230" s="34" t="s">
        <v>589</v>
      </c>
      <c r="D230" s="34"/>
      <c r="E230" s="34"/>
      <c r="F230" s="7">
        <v>0.5</v>
      </c>
      <c r="G230" s="35">
        <v>10.76</v>
      </c>
      <c r="H230" s="36">
        <v>6.5969722887485179E-4</v>
      </c>
      <c r="I230" s="36">
        <v>6.5969722887485179E-4</v>
      </c>
      <c r="J230" s="34">
        <v>2.7585508721007383E-4</v>
      </c>
      <c r="K230" s="34">
        <v>4.1378263081511072E-4</v>
      </c>
      <c r="L230" s="34">
        <v>2</v>
      </c>
      <c r="M230" s="34" t="s">
        <v>2087</v>
      </c>
      <c r="N230" s="37">
        <v>229</v>
      </c>
      <c r="O230" s="18"/>
      <c r="P230" s="17"/>
    </row>
    <row r="231" spans="1:16" x14ac:dyDescent="0.35">
      <c r="A231" s="3" t="s">
        <v>1103</v>
      </c>
      <c r="B231" s="3" t="s">
        <v>590</v>
      </c>
      <c r="C231" s="3" t="s">
        <v>591</v>
      </c>
      <c r="G231" s="4">
        <v>18.329999999999998</v>
      </c>
      <c r="H231" s="17">
        <v>4.8825716520539209E-4</v>
      </c>
      <c r="I231" s="17">
        <v>4.8825716520539209E-4</v>
      </c>
      <c r="J231" s="3">
        <f>I231*0.8</f>
        <v>3.9060573216431369E-4</v>
      </c>
      <c r="K231" s="3">
        <f>I231*1.2</f>
        <v>5.8590859824647048E-4</v>
      </c>
      <c r="L231" s="3">
        <v>2</v>
      </c>
      <c r="N231" s="5">
        <v>230</v>
      </c>
      <c r="O231" s="18"/>
      <c r="P231" s="17"/>
    </row>
    <row r="232" spans="1:16" x14ac:dyDescent="0.35">
      <c r="A232" s="3" t="s">
        <v>1104</v>
      </c>
      <c r="B232" s="3" t="s">
        <v>592</v>
      </c>
      <c r="C232" s="3" t="s">
        <v>593</v>
      </c>
      <c r="G232" s="4">
        <v>16.310000000000009</v>
      </c>
      <c r="H232" s="17">
        <v>3.45730625104175E-4</v>
      </c>
      <c r="I232" s="17">
        <v>3.45730625104175E-4</v>
      </c>
      <c r="J232" s="3">
        <v>1.4228516895484946E-4</v>
      </c>
      <c r="K232" s="3">
        <v>2.1342775343227415E-4</v>
      </c>
      <c r="L232" s="3">
        <v>2</v>
      </c>
      <c r="N232" s="5">
        <v>231</v>
      </c>
      <c r="O232" s="18"/>
      <c r="P232" s="17"/>
    </row>
    <row r="233" spans="1:16" x14ac:dyDescent="0.35">
      <c r="A233" s="3" t="s">
        <v>1105</v>
      </c>
      <c r="B233" s="3" t="s">
        <v>594</v>
      </c>
      <c r="C233" s="3" t="s">
        <v>595</v>
      </c>
      <c r="G233" s="4">
        <v>15.56</v>
      </c>
      <c r="H233" s="17">
        <v>5.6939737082991346E-4</v>
      </c>
      <c r="I233" s="17">
        <v>5.6939737082991346E-4</v>
      </c>
      <c r="J233" s="3">
        <v>1.0755686425003041E-4</v>
      </c>
      <c r="K233" s="3">
        <v>1.613352963750456E-4</v>
      </c>
      <c r="L233" s="3">
        <v>2</v>
      </c>
      <c r="N233" s="5">
        <v>232</v>
      </c>
      <c r="O233" s="18"/>
      <c r="P233" s="17"/>
    </row>
    <row r="234" spans="1:16" x14ac:dyDescent="0.35">
      <c r="A234" s="3" t="s">
        <v>1106</v>
      </c>
      <c r="B234" s="3" t="s">
        <v>596</v>
      </c>
      <c r="C234" s="3" t="s">
        <v>597</v>
      </c>
      <c r="D234" s="3">
        <v>16.52</v>
      </c>
      <c r="E234" s="3">
        <v>16.52</v>
      </c>
      <c r="F234" s="3">
        <v>16.52</v>
      </c>
      <c r="G234" s="4">
        <v>16.52</v>
      </c>
      <c r="H234" s="17">
        <v>2.3893279796720679E-4</v>
      </c>
      <c r="I234" s="17">
        <v>2.3893279796720679E-4</v>
      </c>
      <c r="J234" s="3">
        <v>2.8191554428857264E-4</v>
      </c>
      <c r="K234" s="3">
        <v>4.2287331643285891E-4</v>
      </c>
      <c r="L234" s="3">
        <v>2</v>
      </c>
      <c r="N234" s="5">
        <v>233</v>
      </c>
      <c r="O234" s="18"/>
      <c r="P234" s="17"/>
    </row>
    <row r="235" spans="1:16" x14ac:dyDescent="0.35">
      <c r="A235" s="3" t="s">
        <v>1107</v>
      </c>
      <c r="B235" s="3" t="s">
        <v>597</v>
      </c>
      <c r="C235" s="3" t="s">
        <v>598</v>
      </c>
      <c r="G235" s="4">
        <v>6.3500000000000032</v>
      </c>
      <c r="H235" s="17">
        <v>2.2456865323664779E-4</v>
      </c>
      <c r="I235" s="17">
        <v>2.2456865323664779E-4</v>
      </c>
      <c r="J235" s="3">
        <f>I235*0.1</f>
        <v>2.245686532366478E-5</v>
      </c>
      <c r="K235" s="3">
        <f>I235*10</f>
        <v>2.2456865323664779E-3</v>
      </c>
      <c r="L235" s="3">
        <v>2</v>
      </c>
      <c r="N235" s="5">
        <v>234</v>
      </c>
      <c r="O235" s="18"/>
      <c r="P235" s="17"/>
    </row>
    <row r="236" spans="1:16" x14ac:dyDescent="0.35">
      <c r="A236" s="3" t="s">
        <v>1108</v>
      </c>
      <c r="B236" s="3" t="s">
        <v>598</v>
      </c>
      <c r="C236" s="3" t="s">
        <v>599</v>
      </c>
      <c r="D236" s="3">
        <v>10.42</v>
      </c>
      <c r="E236" s="3">
        <v>10.42</v>
      </c>
      <c r="F236" s="3">
        <v>10.42</v>
      </c>
      <c r="G236" s="4">
        <v>10.42</v>
      </c>
      <c r="H236" s="17">
        <v>6.1124337961770785E-4</v>
      </c>
      <c r="I236" s="17">
        <v>6.1124337961770785E-4</v>
      </c>
      <c r="J236" s="3">
        <f>I236*0.1</f>
        <v>6.1124337961770785E-5</v>
      </c>
      <c r="K236" s="3">
        <f>I236*10</f>
        <v>6.1124337961770787E-3</v>
      </c>
      <c r="L236" s="3">
        <v>2</v>
      </c>
      <c r="N236" s="5">
        <v>235</v>
      </c>
      <c r="O236" s="18"/>
      <c r="P236" s="17"/>
    </row>
    <row r="237" spans="1:16" x14ac:dyDescent="0.35">
      <c r="A237" s="3" t="s">
        <v>1109</v>
      </c>
      <c r="B237" s="3" t="s">
        <v>595</v>
      </c>
      <c r="C237" s="3" t="s">
        <v>600</v>
      </c>
      <c r="G237" s="4">
        <v>12.410000000000011</v>
      </c>
      <c r="H237" s="17">
        <v>3.6728859705987031E-4</v>
      </c>
      <c r="I237" s="17">
        <v>3.6728859705987031E-4</v>
      </c>
      <c r="J237" s="3">
        <v>1.8364429852993515E-4</v>
      </c>
      <c r="K237" s="3">
        <v>4.5952684435022844E-4</v>
      </c>
      <c r="L237" s="3">
        <v>2</v>
      </c>
      <c r="N237" s="5">
        <v>236</v>
      </c>
      <c r="O237" s="18"/>
      <c r="P237" s="17"/>
    </row>
    <row r="238" spans="1:16" x14ac:dyDescent="0.35">
      <c r="A238" s="3" t="s">
        <v>1110</v>
      </c>
      <c r="B238" s="3" t="s">
        <v>600</v>
      </c>
      <c r="C238" s="3" t="s">
        <v>601</v>
      </c>
      <c r="G238" s="4">
        <v>12.310000000000009</v>
      </c>
      <c r="H238" s="17">
        <v>1.9520388936305319E-4</v>
      </c>
      <c r="I238" s="17">
        <v>1.9520388936305319E-4</v>
      </c>
      <c r="J238" s="3">
        <v>2.0647787191228737E-5</v>
      </c>
      <c r="K238" s="3">
        <v>3.0971680786843103E-5</v>
      </c>
      <c r="L238" s="3">
        <v>2</v>
      </c>
      <c r="N238" s="5">
        <v>237</v>
      </c>
      <c r="O238" s="18"/>
      <c r="P238" s="17"/>
    </row>
    <row r="239" spans="1:16" x14ac:dyDescent="0.35">
      <c r="A239" s="3" t="s">
        <v>1111</v>
      </c>
      <c r="B239" s="3" t="s">
        <v>601</v>
      </c>
      <c r="C239" s="3" t="s">
        <v>602</v>
      </c>
      <c r="G239" s="4">
        <v>14.3</v>
      </c>
      <c r="H239" s="17">
        <v>4.9886363904457518E-4</v>
      </c>
      <c r="I239" s="17">
        <v>4.9886363904457518E-4</v>
      </c>
      <c r="J239" s="3">
        <f>I239*0.8</f>
        <v>3.9909091123566017E-4</v>
      </c>
      <c r="K239" s="3">
        <f>I239*1.2</f>
        <v>5.9863636685349023E-4</v>
      </c>
      <c r="L239" s="3">
        <v>2</v>
      </c>
      <c r="N239" s="5">
        <v>238</v>
      </c>
      <c r="O239" s="18"/>
      <c r="P239" s="17"/>
    </row>
    <row r="240" spans="1:16" x14ac:dyDescent="0.35">
      <c r="A240" s="3" t="s">
        <v>1112</v>
      </c>
      <c r="B240" s="3" t="s">
        <v>599</v>
      </c>
      <c r="C240" s="3" t="s">
        <v>603</v>
      </c>
      <c r="D240" s="3">
        <v>10.85</v>
      </c>
      <c r="E240" s="3">
        <v>10.85</v>
      </c>
      <c r="F240" s="3">
        <v>10.85</v>
      </c>
      <c r="G240" s="4">
        <v>10.85</v>
      </c>
      <c r="H240" s="17">
        <v>3.3748165902082867E-4</v>
      </c>
      <c r="I240" s="17">
        <v>3.3748165902082867E-4</v>
      </c>
      <c r="J240" s="3">
        <v>1.6121676302810449E-3</v>
      </c>
      <c r="K240" s="3">
        <v>2.418251445421567E-3</v>
      </c>
      <c r="L240" s="3">
        <v>2</v>
      </c>
      <c r="N240" s="5">
        <v>239</v>
      </c>
      <c r="O240" s="18"/>
      <c r="P240" s="17"/>
    </row>
    <row r="241" spans="1:16" x14ac:dyDescent="0.35">
      <c r="A241" s="3" t="s">
        <v>1113</v>
      </c>
      <c r="B241" s="3" t="s">
        <v>603</v>
      </c>
      <c r="C241" s="3" t="s">
        <v>604</v>
      </c>
      <c r="G241" s="4">
        <v>15.04</v>
      </c>
      <c r="H241" s="17">
        <v>3.9034974015032201E-4</v>
      </c>
      <c r="I241" s="17">
        <v>3.9034974015032201E-4</v>
      </c>
      <c r="J241" s="3">
        <v>5.6753089870840024E-4</v>
      </c>
      <c r="K241" s="3">
        <v>8.5129634806260042E-4</v>
      </c>
      <c r="L241" s="3">
        <v>2</v>
      </c>
      <c r="N241" s="5">
        <v>240</v>
      </c>
      <c r="O241" s="18"/>
      <c r="P241" s="17"/>
    </row>
    <row r="242" spans="1:16" x14ac:dyDescent="0.35">
      <c r="A242" s="3" t="s">
        <v>1114</v>
      </c>
      <c r="B242" s="3" t="s">
        <v>602</v>
      </c>
      <c r="C242" s="3" t="s">
        <v>605</v>
      </c>
      <c r="G242" s="4">
        <v>14.2</v>
      </c>
      <c r="H242" s="19">
        <v>2.063572398572618E-4</v>
      </c>
      <c r="I242" s="19">
        <v>2.063572398572618E-4</v>
      </c>
      <c r="J242" s="3">
        <v>8.7563311039525789E-5</v>
      </c>
      <c r="K242" s="3">
        <v>1.3134496655928867E-4</v>
      </c>
      <c r="L242" s="3">
        <v>2</v>
      </c>
      <c r="N242" s="5">
        <v>241</v>
      </c>
      <c r="O242" s="18"/>
      <c r="P242" s="17"/>
    </row>
    <row r="243" spans="1:16" x14ac:dyDescent="0.35">
      <c r="A243" s="3" t="s">
        <v>1115</v>
      </c>
      <c r="B243" s="3" t="s">
        <v>605</v>
      </c>
      <c r="C243" s="3" t="s">
        <v>606</v>
      </c>
      <c r="D243" s="3">
        <v>14.1</v>
      </c>
      <c r="E243" s="3">
        <v>14.1</v>
      </c>
      <c r="F243" s="3">
        <v>14.1</v>
      </c>
      <c r="G243" s="4">
        <v>14.1</v>
      </c>
      <c r="H243" s="17">
        <v>3.6751839318663868E-4</v>
      </c>
      <c r="I243" s="17">
        <v>3.6751839318663868E-4</v>
      </c>
      <c r="J243" s="3">
        <f>I243*0.8</f>
        <v>2.9401471454931099E-4</v>
      </c>
      <c r="K243" s="3">
        <f>I243*1.2</f>
        <v>4.4102207182396638E-4</v>
      </c>
      <c r="L243" s="3">
        <v>2</v>
      </c>
      <c r="N243" s="5">
        <v>242</v>
      </c>
      <c r="O243" s="18"/>
      <c r="P243" s="17"/>
    </row>
    <row r="244" spans="1:16" x14ac:dyDescent="0.35">
      <c r="A244" s="3" t="s">
        <v>1116</v>
      </c>
      <c r="B244" s="3" t="s">
        <v>606</v>
      </c>
      <c r="C244" s="3" t="s">
        <v>607</v>
      </c>
      <c r="G244" s="4">
        <v>14.2</v>
      </c>
      <c r="H244" s="17">
        <v>6.9813115708926093E-4</v>
      </c>
      <c r="I244" s="17">
        <v>6.9813115708926093E-4</v>
      </c>
      <c r="J244" s="3">
        <v>9.4387722581191106E-5</v>
      </c>
      <c r="K244" s="3">
        <v>1.4158158387178664E-4</v>
      </c>
      <c r="L244" s="3">
        <v>2</v>
      </c>
      <c r="N244" s="5">
        <v>243</v>
      </c>
      <c r="O244" s="18"/>
      <c r="P244" s="17"/>
    </row>
    <row r="245" spans="1:16" x14ac:dyDescent="0.35">
      <c r="A245" s="3" t="s">
        <v>1117</v>
      </c>
      <c r="B245" s="3" t="s">
        <v>608</v>
      </c>
      <c r="C245" s="3" t="s">
        <v>609</v>
      </c>
      <c r="G245" s="4">
        <v>17.342500000000019</v>
      </c>
      <c r="H245" s="17">
        <v>4.6517098961973961E-4</v>
      </c>
      <c r="I245" s="17">
        <v>4.6517098961973961E-4</v>
      </c>
      <c r="J245" s="3">
        <f>I245*0.8</f>
        <v>3.7213679169579173E-4</v>
      </c>
      <c r="K245" s="3">
        <f>I245*1.2</f>
        <v>5.5820518754368749E-4</v>
      </c>
      <c r="L245" s="3">
        <v>2</v>
      </c>
      <c r="N245" s="5">
        <v>244</v>
      </c>
      <c r="O245" s="18"/>
      <c r="P245" s="17"/>
    </row>
    <row r="246" spans="1:16" x14ac:dyDescent="0.35">
      <c r="A246" s="3" t="s">
        <v>1118</v>
      </c>
      <c r="B246" s="3" t="s">
        <v>607</v>
      </c>
      <c r="C246" s="3" t="s">
        <v>610</v>
      </c>
      <c r="G246" s="4">
        <v>23.967499999999969</v>
      </c>
      <c r="H246" s="17">
        <v>2.2072045694578201E-4</v>
      </c>
      <c r="I246" s="17">
        <v>2.2072045694578201E-4</v>
      </c>
      <c r="J246" s="3">
        <v>2.0126227093454239E-4</v>
      </c>
      <c r="K246" s="3">
        <v>3.0189340640181359E-4</v>
      </c>
      <c r="L246" s="3">
        <v>2</v>
      </c>
      <c r="N246" s="5">
        <v>245</v>
      </c>
      <c r="O246" s="18"/>
      <c r="P246" s="17"/>
    </row>
    <row r="247" spans="1:16" x14ac:dyDescent="0.35">
      <c r="A247" s="3" t="s">
        <v>1119</v>
      </c>
      <c r="B247" s="3" t="s">
        <v>610</v>
      </c>
      <c r="C247" s="3" t="s">
        <v>611</v>
      </c>
      <c r="G247" s="4">
        <v>23.967499999999969</v>
      </c>
      <c r="H247" s="17">
        <v>5.5060566440619642E-4</v>
      </c>
      <c r="I247" s="17">
        <v>5.5060566440619642E-4</v>
      </c>
      <c r="J247" s="3">
        <f>I247*0.8</f>
        <v>4.4048453152495718E-4</v>
      </c>
      <c r="K247" s="3">
        <f>I247*1.2</f>
        <v>6.6072679728743566E-4</v>
      </c>
      <c r="L247" s="3">
        <v>2</v>
      </c>
      <c r="N247" s="5">
        <v>246</v>
      </c>
      <c r="O247" s="18"/>
      <c r="P247" s="17"/>
    </row>
    <row r="248" spans="1:16" x14ac:dyDescent="0.35">
      <c r="A248" s="3" t="s">
        <v>1120</v>
      </c>
      <c r="B248" s="3" t="s">
        <v>612</v>
      </c>
      <c r="C248" s="3" t="s">
        <v>590</v>
      </c>
      <c r="D248" s="3">
        <v>18.23</v>
      </c>
      <c r="E248" s="3">
        <v>18.23</v>
      </c>
      <c r="F248" s="3">
        <v>18.23</v>
      </c>
      <c r="G248" s="4">
        <v>18.23</v>
      </c>
      <c r="H248" s="17">
        <v>3.4497611336380769E-4</v>
      </c>
      <c r="I248" s="17">
        <v>3.4497611336380769E-4</v>
      </c>
      <c r="J248" s="3">
        <v>3.2665511152733258E-5</v>
      </c>
      <c r="K248" s="3">
        <v>4.8998266729099888E-5</v>
      </c>
      <c r="L248" s="3">
        <v>2</v>
      </c>
      <c r="N248" s="5">
        <v>247</v>
      </c>
      <c r="O248" s="18"/>
      <c r="P248" s="17"/>
    </row>
    <row r="249" spans="1:16" x14ac:dyDescent="0.35">
      <c r="A249" s="3" t="s">
        <v>1121</v>
      </c>
      <c r="B249" s="3" t="s">
        <v>613</v>
      </c>
      <c r="C249" s="3" t="s">
        <v>614</v>
      </c>
      <c r="D249" s="3">
        <v>28.4</v>
      </c>
      <c r="E249" s="3">
        <v>28.4</v>
      </c>
      <c r="F249" s="3">
        <v>28.4</v>
      </c>
      <c r="G249" s="4">
        <v>28.4</v>
      </c>
      <c r="H249" s="17">
        <v>8.4551472208016542E-4</v>
      </c>
      <c r="I249" s="17">
        <v>8.4551472208016542E-4</v>
      </c>
      <c r="J249" s="3">
        <f>I249*0.8</f>
        <v>6.7641177766413233E-4</v>
      </c>
      <c r="K249" s="3">
        <f>I249*1.2</f>
        <v>1.0146176664961985E-3</v>
      </c>
      <c r="L249" s="3">
        <v>2</v>
      </c>
      <c r="N249" s="5">
        <v>248</v>
      </c>
      <c r="O249" s="18"/>
      <c r="P249" s="17"/>
    </row>
    <row r="250" spans="1:16" x14ac:dyDescent="0.35">
      <c r="A250" s="3" t="s">
        <v>1122</v>
      </c>
      <c r="B250" s="3" t="s">
        <v>591</v>
      </c>
      <c r="C250" s="3" t="s">
        <v>615</v>
      </c>
      <c r="G250" s="4">
        <v>19.28</v>
      </c>
      <c r="H250" s="17">
        <v>5.2643403779651147E-4</v>
      </c>
      <c r="I250" s="17">
        <v>5.2643403779651147E-4</v>
      </c>
      <c r="J250" s="3">
        <v>1.2021346365935696E-3</v>
      </c>
      <c r="K250" s="3">
        <v>1.8032019548903542E-3</v>
      </c>
      <c r="L250" s="3">
        <v>2</v>
      </c>
      <c r="N250" s="5">
        <v>249</v>
      </c>
      <c r="O250" s="18"/>
      <c r="P250" s="17"/>
    </row>
    <row r="251" spans="1:16" x14ac:dyDescent="0.35">
      <c r="A251" s="3" t="s">
        <v>1123</v>
      </c>
      <c r="B251" s="3" t="s">
        <v>616</v>
      </c>
      <c r="C251" s="3" t="s">
        <v>617</v>
      </c>
      <c r="G251" s="4">
        <v>19.48</v>
      </c>
      <c r="H251" s="17">
        <v>1.0938422715694399E-3</v>
      </c>
      <c r="I251" s="17">
        <v>1.0938422715694399E-3</v>
      </c>
      <c r="J251" s="3">
        <v>8.3653901067887279E-4</v>
      </c>
      <c r="K251" s="3">
        <v>1.2548085160183091E-3</v>
      </c>
      <c r="L251" s="3">
        <v>2</v>
      </c>
      <c r="N251" s="5">
        <v>250</v>
      </c>
      <c r="O251" s="18"/>
      <c r="P251" s="17"/>
    </row>
    <row r="252" spans="1:16" x14ac:dyDescent="0.35">
      <c r="A252" s="3" t="s">
        <v>1124</v>
      </c>
      <c r="B252" s="3" t="s">
        <v>618</v>
      </c>
      <c r="C252" s="3" t="s">
        <v>619</v>
      </c>
      <c r="G252" s="4">
        <v>20.66</v>
      </c>
      <c r="H252" s="17">
        <v>6.2428569337786102E-4</v>
      </c>
      <c r="I252" s="17">
        <v>6.2428569337786102E-4</v>
      </c>
      <c r="J252" s="3">
        <v>2.9526085459371506E-4</v>
      </c>
      <c r="K252" s="3">
        <v>4.4289128189057251E-4</v>
      </c>
      <c r="L252" s="3">
        <v>2</v>
      </c>
      <c r="N252" s="5">
        <v>251</v>
      </c>
      <c r="O252" s="18"/>
      <c r="P252" s="17"/>
    </row>
    <row r="253" spans="1:16" x14ac:dyDescent="0.35">
      <c r="A253" s="3" t="s">
        <v>1125</v>
      </c>
      <c r="B253" s="3" t="s">
        <v>614</v>
      </c>
      <c r="C253" s="3" t="s">
        <v>618</v>
      </c>
      <c r="G253" s="4">
        <v>19.760000000000002</v>
      </c>
      <c r="H253" s="17">
        <v>4.3961552281604352E-4</v>
      </c>
      <c r="I253" s="17">
        <v>4.3961552281604352E-4</v>
      </c>
      <c r="J253" s="3">
        <v>1.7609183338717545E-4</v>
      </c>
      <c r="K253" s="3">
        <v>2.6413775008076314E-4</v>
      </c>
      <c r="L253" s="3">
        <v>2</v>
      </c>
      <c r="N253" s="5">
        <v>252</v>
      </c>
      <c r="O253" s="18"/>
      <c r="P253" s="17"/>
    </row>
    <row r="254" spans="1:16" x14ac:dyDescent="0.35">
      <c r="A254" s="3" t="s">
        <v>1126</v>
      </c>
      <c r="B254" s="3" t="s">
        <v>619</v>
      </c>
      <c r="C254" s="3" t="s">
        <v>620</v>
      </c>
      <c r="G254" s="4">
        <v>20.3</v>
      </c>
      <c r="H254" s="17">
        <v>3.1886171712132178E-4</v>
      </c>
      <c r="I254" s="17">
        <v>3.1886171712132178E-4</v>
      </c>
      <c r="J254" s="3">
        <v>1.4904391732233649E-4</v>
      </c>
      <c r="K254" s="3">
        <v>2.2356587598350471E-4</v>
      </c>
      <c r="L254" s="3">
        <v>2</v>
      </c>
      <c r="N254" s="5">
        <v>253</v>
      </c>
      <c r="O254" s="18"/>
      <c r="P254" s="17"/>
    </row>
    <row r="255" spans="1:16" x14ac:dyDescent="0.35">
      <c r="A255" s="3" t="s">
        <v>1127</v>
      </c>
      <c r="B255" s="3" t="s">
        <v>617</v>
      </c>
      <c r="C255" s="3" t="s">
        <v>621</v>
      </c>
      <c r="G255" s="4">
        <v>20.27</v>
      </c>
      <c r="H255" s="19">
        <v>8.000559121747854E-4</v>
      </c>
      <c r="I255" s="19">
        <v>8.000559121747854E-4</v>
      </c>
      <c r="J255" s="3">
        <v>3.2066152716736458E-4</v>
      </c>
      <c r="K255" s="3">
        <v>4.8099229075104685E-4</v>
      </c>
      <c r="L255" s="3">
        <v>2</v>
      </c>
      <c r="N255" s="5">
        <v>254</v>
      </c>
      <c r="O255" s="18"/>
      <c r="P255" s="17"/>
    </row>
    <row r="256" spans="1:16" x14ac:dyDescent="0.35">
      <c r="A256" s="3" t="s">
        <v>1128</v>
      </c>
      <c r="B256" s="3" t="s">
        <v>621</v>
      </c>
      <c r="C256" s="3" t="s">
        <v>622</v>
      </c>
      <c r="D256" s="3">
        <v>20.37</v>
      </c>
      <c r="E256" s="3">
        <v>20.37</v>
      </c>
      <c r="F256" s="3">
        <v>20.37</v>
      </c>
      <c r="G256" s="4">
        <v>20.37</v>
      </c>
      <c r="H256" s="17">
        <v>8.3424494716192858E-4</v>
      </c>
      <c r="I256" s="17">
        <v>8.3424494716192858E-4</v>
      </c>
      <c r="J256" s="3">
        <v>3.4612014368667573E-4</v>
      </c>
      <c r="K256" s="3">
        <v>5.1918021553001349E-4</v>
      </c>
      <c r="L256" s="3">
        <v>2</v>
      </c>
      <c r="N256" s="5">
        <v>255</v>
      </c>
      <c r="O256" s="18"/>
      <c r="P256" s="17"/>
    </row>
    <row r="257" spans="1:16" x14ac:dyDescent="0.35">
      <c r="A257" s="3" t="s">
        <v>1129</v>
      </c>
      <c r="B257" s="3" t="s">
        <v>623</v>
      </c>
      <c r="C257" s="3" t="s">
        <v>624</v>
      </c>
      <c r="G257" s="4">
        <v>22.41</v>
      </c>
      <c r="H257" s="17">
        <v>6.7765003181449247E-4</v>
      </c>
      <c r="I257" s="17">
        <v>6.7765003181449247E-4</v>
      </c>
      <c r="J257" s="3">
        <v>4.8185484674896981E-4</v>
      </c>
      <c r="K257" s="3">
        <v>7.2278227012345468E-4</v>
      </c>
      <c r="L257" s="3">
        <v>2</v>
      </c>
      <c r="N257" s="5">
        <v>256</v>
      </c>
      <c r="O257" s="18"/>
      <c r="P257" s="17"/>
    </row>
    <row r="258" spans="1:16" x14ac:dyDescent="0.35">
      <c r="A258" s="3" t="s">
        <v>1130</v>
      </c>
      <c r="B258" s="3" t="s">
        <v>620</v>
      </c>
      <c r="C258" s="3" t="s">
        <v>623</v>
      </c>
      <c r="G258" s="4">
        <v>20.2</v>
      </c>
      <c r="H258" s="17">
        <v>3.1413664638083478E-4</v>
      </c>
      <c r="I258" s="17">
        <v>3.1413664638083478E-4</v>
      </c>
      <c r="J258" s="3">
        <v>1.4332922411634274E-4</v>
      </c>
      <c r="K258" s="3">
        <v>2.1499383617451406E-4</v>
      </c>
      <c r="L258" s="3">
        <v>2</v>
      </c>
      <c r="N258" s="5">
        <v>257</v>
      </c>
      <c r="O258" s="18"/>
      <c r="P258" s="17"/>
    </row>
    <row r="259" spans="1:16" x14ac:dyDescent="0.35">
      <c r="A259" s="3" t="s">
        <v>1131</v>
      </c>
      <c r="B259" s="3" t="s">
        <v>624</v>
      </c>
      <c r="C259" s="3" t="s">
        <v>625</v>
      </c>
      <c r="G259" s="4">
        <v>44.289999999999978</v>
      </c>
      <c r="H259" s="17">
        <v>2.845936951993707E-4</v>
      </c>
      <c r="I259" s="17">
        <v>2.845936951993707E-4</v>
      </c>
      <c r="J259" s="3">
        <v>1.4229684759968535E-4</v>
      </c>
      <c r="K259" s="3">
        <v>2.5618749918714887E-4</v>
      </c>
      <c r="L259" s="3">
        <v>2</v>
      </c>
      <c r="N259" s="5">
        <v>258</v>
      </c>
      <c r="O259" s="18"/>
      <c r="P259" s="17"/>
    </row>
    <row r="260" spans="1:16" x14ac:dyDescent="0.35">
      <c r="A260" s="3" t="s">
        <v>1132</v>
      </c>
      <c r="B260" s="3" t="s">
        <v>626</v>
      </c>
      <c r="C260" s="3" t="s">
        <v>627</v>
      </c>
      <c r="G260" s="4">
        <v>24.68</v>
      </c>
      <c r="H260" s="17">
        <v>1.9772096065048949E-4</v>
      </c>
      <c r="I260" s="17">
        <v>1.9772096065048949E-4</v>
      </c>
      <c r="J260" s="3">
        <v>1.4429531288437657E-4</v>
      </c>
      <c r="K260" s="3">
        <v>2.1644296932656483E-4</v>
      </c>
      <c r="L260" s="3">
        <v>2</v>
      </c>
      <c r="N260" s="5">
        <v>259</v>
      </c>
      <c r="O260" s="18"/>
      <c r="P260" s="17"/>
    </row>
    <row r="261" spans="1:16" x14ac:dyDescent="0.35">
      <c r="A261" s="3" t="s">
        <v>1133</v>
      </c>
      <c r="B261" s="3" t="s">
        <v>628</v>
      </c>
      <c r="C261" s="3" t="s">
        <v>629</v>
      </c>
      <c r="G261" s="4">
        <v>41.639999999999993</v>
      </c>
      <c r="H261" s="17">
        <v>6.1154722460682255E-4</v>
      </c>
      <c r="I261" s="17">
        <v>6.1154722460682255E-4</v>
      </c>
      <c r="J261" s="3">
        <v>4.3695232142656932E-5</v>
      </c>
      <c r="K261" s="3">
        <v>6.5542848213985395E-5</v>
      </c>
      <c r="L261" s="3">
        <v>2</v>
      </c>
      <c r="N261" s="5">
        <v>260</v>
      </c>
      <c r="O261" s="18"/>
      <c r="P261" s="17"/>
    </row>
    <row r="262" spans="1:16" x14ac:dyDescent="0.35">
      <c r="A262" s="3" t="s">
        <v>1134</v>
      </c>
      <c r="B262" s="3" t="s">
        <v>625</v>
      </c>
      <c r="C262" s="3" t="s">
        <v>628</v>
      </c>
      <c r="G262" s="4">
        <v>41.539999999999992</v>
      </c>
      <c r="H262" s="17">
        <v>3.3173775344319751E-4</v>
      </c>
      <c r="I262" s="17">
        <v>3.3173775344319751E-4</v>
      </c>
      <c r="J262" s="3">
        <v>5.1227615130165565E-4</v>
      </c>
      <c r="K262" s="3">
        <v>7.6841422695248342E-4</v>
      </c>
      <c r="L262" s="3">
        <v>2</v>
      </c>
      <c r="N262" s="5">
        <v>261</v>
      </c>
      <c r="O262" s="18"/>
      <c r="P262" s="17"/>
    </row>
    <row r="263" spans="1:16" x14ac:dyDescent="0.35">
      <c r="A263" s="3" t="s">
        <v>1135</v>
      </c>
      <c r="B263" s="3" t="s">
        <v>629</v>
      </c>
      <c r="C263" s="3" t="s">
        <v>630</v>
      </c>
      <c r="D263" s="3">
        <v>37.78</v>
      </c>
      <c r="E263" s="3">
        <v>37.78</v>
      </c>
      <c r="F263" s="3">
        <v>37.78</v>
      </c>
      <c r="G263" s="4">
        <v>37.78</v>
      </c>
      <c r="H263" s="17">
        <v>5.2548021176474283E-4</v>
      </c>
      <c r="I263" s="17">
        <v>5.2548021176474283E-4</v>
      </c>
      <c r="J263" s="3">
        <v>2.1411634048926686E-4</v>
      </c>
      <c r="K263" s="3">
        <v>3.2117451073390029E-4</v>
      </c>
      <c r="L263" s="3">
        <v>2</v>
      </c>
      <c r="N263" s="5">
        <v>262</v>
      </c>
      <c r="O263" s="18"/>
      <c r="P263" s="17"/>
    </row>
    <row r="264" spans="1:16" x14ac:dyDescent="0.35">
      <c r="A264" s="3" t="s">
        <v>1136</v>
      </c>
      <c r="B264" s="3" t="s">
        <v>629</v>
      </c>
      <c r="C264" s="3" t="s">
        <v>631</v>
      </c>
      <c r="G264" s="4">
        <v>3.859999999999999</v>
      </c>
      <c r="H264" s="17">
        <v>6.1509358282609179E-3</v>
      </c>
      <c r="I264" s="17">
        <v>6.1509358282609179E-3</v>
      </c>
      <c r="J264" s="3">
        <v>1.2301871656521836E-3</v>
      </c>
      <c r="K264" s="3">
        <v>1.2301871656521836E-2</v>
      </c>
      <c r="L264" s="3">
        <v>2</v>
      </c>
      <c r="N264" s="5">
        <v>263</v>
      </c>
      <c r="O264" s="18"/>
      <c r="P264" s="17"/>
    </row>
    <row r="265" spans="1:16" x14ac:dyDescent="0.35">
      <c r="A265" s="3" t="s">
        <v>1137</v>
      </c>
      <c r="B265" s="3" t="s">
        <v>630</v>
      </c>
      <c r="C265" s="3" t="s">
        <v>632</v>
      </c>
      <c r="G265" s="4">
        <v>37.68</v>
      </c>
      <c r="H265" s="17">
        <v>3.9901691678735109E-4</v>
      </c>
      <c r="I265" s="17">
        <v>3.9901691678735109E-4</v>
      </c>
      <c r="J265" s="3">
        <v>4.4845438978287363E-5</v>
      </c>
      <c r="K265" s="3">
        <v>6.7268158467431038E-5</v>
      </c>
      <c r="L265" s="3">
        <v>2</v>
      </c>
      <c r="N265" s="5">
        <v>264</v>
      </c>
      <c r="O265" s="18"/>
      <c r="P265" s="17"/>
    </row>
    <row r="266" spans="1:16" x14ac:dyDescent="0.35">
      <c r="A266" s="3" t="s">
        <v>1138</v>
      </c>
      <c r="B266" s="3" t="s">
        <v>632</v>
      </c>
      <c r="C266" s="3" t="s">
        <v>633</v>
      </c>
      <c r="G266" s="4">
        <v>39.012500000000003</v>
      </c>
      <c r="H266" s="17">
        <v>6.8156297554916145E-4</v>
      </c>
      <c r="I266" s="17">
        <v>6.8156297554916145E-4</v>
      </c>
      <c r="J266" s="3">
        <v>1.2550523086071353E-4</v>
      </c>
      <c r="K266" s="3">
        <v>1.8825784629107029E-4</v>
      </c>
      <c r="L266" s="3">
        <v>2</v>
      </c>
      <c r="N266" s="5">
        <v>265</v>
      </c>
      <c r="O266" s="18"/>
      <c r="P266" s="17"/>
    </row>
    <row r="267" spans="1:16" x14ac:dyDescent="0.35">
      <c r="A267" s="3" t="s">
        <v>1139</v>
      </c>
      <c r="B267" s="3" t="s">
        <v>634</v>
      </c>
      <c r="C267" s="3" t="s">
        <v>635</v>
      </c>
      <c r="D267" s="3">
        <v>19.11</v>
      </c>
      <c r="E267" s="3">
        <v>19.11</v>
      </c>
      <c r="F267" s="3">
        <v>19.11</v>
      </c>
      <c r="G267" s="4">
        <v>19.11</v>
      </c>
      <c r="H267" s="17">
        <v>4.1657453785318502E-4</v>
      </c>
      <c r="I267" s="17">
        <v>4.1657453785318502E-4</v>
      </c>
      <c r="J267" s="3">
        <v>3.6459084389425995E-4</v>
      </c>
      <c r="K267" s="3">
        <v>5.4688626584138982E-4</v>
      </c>
      <c r="L267" s="3">
        <v>2</v>
      </c>
      <c r="N267" s="5">
        <v>266</v>
      </c>
      <c r="O267" s="18"/>
      <c r="P267" s="17"/>
    </row>
    <row r="268" spans="1:16" x14ac:dyDescent="0.35">
      <c r="A268" s="3" t="s">
        <v>1140</v>
      </c>
      <c r="B268" s="3" t="s">
        <v>636</v>
      </c>
      <c r="C268" s="3" t="s">
        <v>634</v>
      </c>
      <c r="G268" s="4">
        <v>19.010000000000002</v>
      </c>
      <c r="H268" s="17">
        <v>8.9494507998773125E-4</v>
      </c>
      <c r="I268" s="17">
        <v>8.9494507998773125E-4</v>
      </c>
      <c r="J268" s="3">
        <v>2.2915610290074515E-3</v>
      </c>
      <c r="K268" s="3">
        <v>3.4373415435111766E-3</v>
      </c>
      <c r="L268" s="3">
        <v>2</v>
      </c>
      <c r="N268" s="5">
        <v>267</v>
      </c>
      <c r="O268" s="18"/>
      <c r="P268" s="17"/>
    </row>
    <row r="269" spans="1:16" x14ac:dyDescent="0.35">
      <c r="A269" s="3" t="s">
        <v>1141</v>
      </c>
      <c r="B269" s="3" t="s">
        <v>627</v>
      </c>
      <c r="C269" s="3" t="s">
        <v>636</v>
      </c>
      <c r="D269" s="3">
        <v>15.05</v>
      </c>
      <c r="E269" s="3">
        <v>15.05</v>
      </c>
      <c r="F269" s="3">
        <v>15.05</v>
      </c>
      <c r="G269" s="4">
        <v>15.05</v>
      </c>
      <c r="H269" s="17">
        <v>7.2583849804883722E-4</v>
      </c>
      <c r="I269" s="17">
        <v>7.2583849804883722E-4</v>
      </c>
      <c r="J269" s="3">
        <v>3.2373165585887373E-4</v>
      </c>
      <c r="K269" s="3">
        <v>4.8559748378831051E-4</v>
      </c>
      <c r="L269" s="3">
        <v>2</v>
      </c>
      <c r="N269" s="5">
        <v>268</v>
      </c>
      <c r="O269" s="18"/>
      <c r="P269" s="17"/>
    </row>
    <row r="270" spans="1:16" x14ac:dyDescent="0.35">
      <c r="A270" s="3" t="s">
        <v>1142</v>
      </c>
      <c r="B270" s="3" t="s">
        <v>635</v>
      </c>
      <c r="C270" s="3" t="s">
        <v>637</v>
      </c>
      <c r="D270" s="3">
        <v>19.399999999999999</v>
      </c>
      <c r="E270" s="3">
        <v>19.399999999999999</v>
      </c>
      <c r="F270" s="3">
        <v>19.399999999999999</v>
      </c>
      <c r="G270" s="4">
        <v>19.399999999999999</v>
      </c>
      <c r="H270" s="17">
        <v>8.275207062746657E-4</v>
      </c>
      <c r="I270" s="17">
        <v>8.275207062746657E-4</v>
      </c>
      <c r="J270" s="3">
        <v>5.2519310311741659E-4</v>
      </c>
      <c r="K270" s="3">
        <v>7.8778965467612473E-4</v>
      </c>
      <c r="L270" s="3">
        <v>2</v>
      </c>
      <c r="N270" s="5">
        <v>269</v>
      </c>
      <c r="O270" s="18"/>
      <c r="P270" s="17"/>
    </row>
    <row r="271" spans="1:16" x14ac:dyDescent="0.35">
      <c r="A271" s="3" t="s">
        <v>1143</v>
      </c>
      <c r="B271" s="3" t="s">
        <v>633</v>
      </c>
      <c r="C271" s="3" t="s">
        <v>638</v>
      </c>
      <c r="G271" s="4">
        <v>39.112499999999997</v>
      </c>
      <c r="H271" s="17">
        <v>6.7097776768894324E-4</v>
      </c>
      <c r="I271" s="17">
        <v>6.7097776768894324E-4</v>
      </c>
      <c r="J271" s="3">
        <v>3.0705544810962653E-4</v>
      </c>
      <c r="K271" s="3">
        <v>4.6058317216443969E-4</v>
      </c>
      <c r="L271" s="3">
        <v>2</v>
      </c>
      <c r="N271" s="5">
        <v>270</v>
      </c>
      <c r="O271" s="18"/>
      <c r="P271" s="17"/>
    </row>
    <row r="272" spans="1:16" x14ac:dyDescent="0.35">
      <c r="A272" s="3" t="s">
        <v>1144</v>
      </c>
      <c r="B272" s="3" t="s">
        <v>638</v>
      </c>
      <c r="C272" s="3" t="s">
        <v>639</v>
      </c>
      <c r="G272" s="4">
        <v>30.072500000000002</v>
      </c>
      <c r="H272" s="17">
        <v>4.4048072786279742E-4</v>
      </c>
      <c r="I272" s="17">
        <v>4.4048072786279742E-4</v>
      </c>
      <c r="J272" s="3">
        <v>1.926780033683032E-4</v>
      </c>
      <c r="K272" s="3">
        <v>2.8901700505245479E-4</v>
      </c>
      <c r="L272" s="3">
        <v>2</v>
      </c>
      <c r="N272" s="5">
        <v>271</v>
      </c>
      <c r="O272" s="18"/>
      <c r="P272" s="17"/>
    </row>
    <row r="273" spans="1:16" x14ac:dyDescent="0.35">
      <c r="A273" s="3" t="s">
        <v>1145</v>
      </c>
      <c r="B273" s="3" t="s">
        <v>639</v>
      </c>
      <c r="C273" s="3" t="s">
        <v>640</v>
      </c>
      <c r="D273" s="3">
        <v>27.27</v>
      </c>
      <c r="E273" s="3">
        <v>27.27</v>
      </c>
      <c r="F273" s="3">
        <v>27.27</v>
      </c>
      <c r="G273" s="4">
        <v>27.27</v>
      </c>
      <c r="H273" s="17">
        <v>7.2021827689295692E-4</v>
      </c>
      <c r="I273" s="17">
        <v>7.2021827689295692E-4</v>
      </c>
      <c r="J273" s="3">
        <v>2.9000143355718935E-4</v>
      </c>
      <c r="K273" s="3">
        <v>4.35002150335784E-4</v>
      </c>
      <c r="L273" s="3">
        <v>2</v>
      </c>
      <c r="N273" s="5">
        <v>272</v>
      </c>
      <c r="O273" s="18"/>
      <c r="P273" s="17"/>
    </row>
    <row r="274" spans="1:16" x14ac:dyDescent="0.35">
      <c r="A274" s="3" t="s">
        <v>1146</v>
      </c>
      <c r="B274" s="3" t="s">
        <v>641</v>
      </c>
      <c r="C274" s="3" t="s">
        <v>642</v>
      </c>
      <c r="G274" s="4">
        <v>42.72</v>
      </c>
      <c r="H274" s="17">
        <v>7.8349013688689263E-4</v>
      </c>
      <c r="I274" s="17">
        <v>7.8349013688689263E-4</v>
      </c>
      <c r="J274" s="3">
        <v>9.5781860748239332E-7</v>
      </c>
      <c r="K274" s="3">
        <f>I274*1.2</f>
        <v>9.4018816426427114E-4</v>
      </c>
      <c r="L274" s="3">
        <v>2</v>
      </c>
      <c r="N274" s="5">
        <v>273</v>
      </c>
      <c r="O274" s="18"/>
      <c r="P274" s="17"/>
    </row>
    <row r="275" spans="1:16" x14ac:dyDescent="0.35">
      <c r="A275" s="3" t="s">
        <v>1147</v>
      </c>
      <c r="B275" s="3" t="s">
        <v>643</v>
      </c>
      <c r="C275" s="3" t="s">
        <v>644</v>
      </c>
      <c r="G275" s="4">
        <v>26.655000000000019</v>
      </c>
      <c r="H275" s="17">
        <v>7.1766503614200013E-4</v>
      </c>
      <c r="I275" s="17">
        <v>7.1766503614200013E-4</v>
      </c>
      <c r="J275" s="3">
        <v>2.8942387059467943E-4</v>
      </c>
      <c r="K275" s="3">
        <v>4.3413580589201918E-4</v>
      </c>
      <c r="L275" s="3">
        <v>2</v>
      </c>
      <c r="N275" s="5">
        <v>274</v>
      </c>
      <c r="O275" s="18"/>
      <c r="P275" s="17"/>
    </row>
    <row r="276" spans="1:16" x14ac:dyDescent="0.35">
      <c r="A276" s="3" t="s">
        <v>1148</v>
      </c>
      <c r="B276" s="3" t="s">
        <v>645</v>
      </c>
      <c r="C276" s="3" t="s">
        <v>643</v>
      </c>
      <c r="G276" s="4">
        <v>26.555000000000021</v>
      </c>
      <c r="H276" s="17">
        <v>4.5205564561563331E-4</v>
      </c>
      <c r="I276" s="17">
        <v>4.5205564561563331E-4</v>
      </c>
      <c r="J276" s="3">
        <v>2.5792226521926864E-4</v>
      </c>
      <c r="K276" s="3">
        <v>3.8688339782890299E-4</v>
      </c>
      <c r="L276" s="3">
        <v>2</v>
      </c>
      <c r="N276" s="5">
        <v>275</v>
      </c>
      <c r="O276" s="18"/>
      <c r="P276" s="17"/>
    </row>
    <row r="277" spans="1:16" x14ac:dyDescent="0.35">
      <c r="A277" s="3" t="s">
        <v>1149</v>
      </c>
      <c r="B277" s="3" t="s">
        <v>644</v>
      </c>
      <c r="C277" s="3" t="s">
        <v>646</v>
      </c>
      <c r="G277" s="4">
        <v>26.75500000000002</v>
      </c>
      <c r="H277" s="17">
        <v>9.7602692217320386E-4</v>
      </c>
      <c r="I277" s="17">
        <v>9.7602692217320386E-4</v>
      </c>
      <c r="J277" s="3">
        <v>1.4764888483467337E-4</v>
      </c>
      <c r="K277" s="3">
        <v>2.2147332725201002E-4</v>
      </c>
      <c r="L277" s="3">
        <v>2</v>
      </c>
      <c r="N277" s="5">
        <v>276</v>
      </c>
      <c r="O277" s="18"/>
      <c r="P277" s="17"/>
    </row>
    <row r="278" spans="1:16" x14ac:dyDescent="0.35">
      <c r="A278" s="3" t="s">
        <v>1150</v>
      </c>
      <c r="B278" s="3" t="s">
        <v>647</v>
      </c>
      <c r="C278" s="3" t="s">
        <v>648</v>
      </c>
      <c r="G278" s="4">
        <v>42.919999999999987</v>
      </c>
      <c r="H278" s="17">
        <v>1.583624686468429E-3</v>
      </c>
      <c r="I278" s="17">
        <v>1.583624686468429E-3</v>
      </c>
      <c r="J278" s="3">
        <v>6.4988225232235882E-4</v>
      </c>
      <c r="K278" s="3">
        <v>9.7482337848353823E-4</v>
      </c>
      <c r="L278" s="3">
        <v>2</v>
      </c>
      <c r="N278" s="5">
        <v>277</v>
      </c>
      <c r="O278" s="18"/>
      <c r="P278" s="17"/>
    </row>
    <row r="279" spans="1:16" x14ac:dyDescent="0.35">
      <c r="A279" s="3" t="s">
        <v>1151</v>
      </c>
      <c r="B279" s="3" t="s">
        <v>646</v>
      </c>
      <c r="C279" s="3" t="s">
        <v>649</v>
      </c>
      <c r="G279" s="4">
        <v>16.535000000000011</v>
      </c>
      <c r="H279" s="19">
        <v>6.3695961553151658E-4</v>
      </c>
      <c r="I279" s="19">
        <v>6.3695961553151658E-4</v>
      </c>
      <c r="J279" s="3">
        <v>4.5368630115431835E-4</v>
      </c>
      <c r="K279" s="3">
        <v>6.8052945173147745E-4</v>
      </c>
      <c r="L279" s="3">
        <v>2</v>
      </c>
      <c r="N279" s="5">
        <v>278</v>
      </c>
      <c r="O279" s="18"/>
      <c r="P279" s="17"/>
    </row>
    <row r="280" spans="1:16" x14ac:dyDescent="0.35">
      <c r="A280" s="3" t="s">
        <v>1152</v>
      </c>
      <c r="B280" s="3" t="s">
        <v>649</v>
      </c>
      <c r="C280" s="3" t="s">
        <v>650</v>
      </c>
      <c r="G280" s="4">
        <v>12.480000000000009</v>
      </c>
      <c r="H280" s="17">
        <v>5.7953336544983112E-4</v>
      </c>
      <c r="I280" s="17">
        <v>5.7953336544983112E-4</v>
      </c>
      <c r="J280" s="3">
        <f>I280*0.1</f>
        <v>5.7953336544983117E-5</v>
      </c>
      <c r="K280" s="3">
        <f>I280*10</f>
        <v>5.7953336544983112E-3</v>
      </c>
      <c r="L280" s="3">
        <v>2</v>
      </c>
      <c r="N280" s="5">
        <v>279</v>
      </c>
      <c r="O280" s="18"/>
      <c r="P280" s="17"/>
    </row>
    <row r="281" spans="1:16" x14ac:dyDescent="0.35">
      <c r="A281" s="3" t="s">
        <v>1153</v>
      </c>
      <c r="B281" s="3" t="s">
        <v>650</v>
      </c>
      <c r="C281" s="3" t="s">
        <v>651</v>
      </c>
      <c r="G281" s="4">
        <v>12.580000000000011</v>
      </c>
      <c r="H281" s="17">
        <v>1.9642617961545199E-4</v>
      </c>
      <c r="I281" s="17">
        <v>1.9642617961545199E-4</v>
      </c>
      <c r="J281" s="3">
        <f>I281*0.1</f>
        <v>1.9642617961545202E-5</v>
      </c>
      <c r="K281" s="3">
        <f>I281*10</f>
        <v>1.96426179615452E-3</v>
      </c>
      <c r="L281" s="3">
        <v>2</v>
      </c>
      <c r="N281" s="5">
        <v>280</v>
      </c>
      <c r="O281" s="18"/>
      <c r="P281" s="17"/>
    </row>
    <row r="282" spans="1:16" x14ac:dyDescent="0.35">
      <c r="A282" s="3" t="s">
        <v>1154</v>
      </c>
      <c r="B282" s="3" t="s">
        <v>652</v>
      </c>
      <c r="C282" s="3" t="s">
        <v>651</v>
      </c>
      <c r="G282" s="4">
        <v>0.2</v>
      </c>
      <c r="H282" s="17">
        <v>1.240534637856571E-4</v>
      </c>
      <c r="I282" s="17">
        <v>1.240534637856571E-4</v>
      </c>
      <c r="J282" s="3">
        <v>9.9242771028525676E-5</v>
      </c>
      <c r="K282" s="3">
        <v>1.4886415654278851E-4</v>
      </c>
      <c r="L282" s="3">
        <v>2</v>
      </c>
      <c r="N282" s="5">
        <v>281</v>
      </c>
      <c r="O282" s="18"/>
      <c r="P282" s="17"/>
    </row>
    <row r="283" spans="1:16" x14ac:dyDescent="0.35">
      <c r="A283" s="3" t="s">
        <v>1155</v>
      </c>
      <c r="B283" s="3" t="s">
        <v>653</v>
      </c>
      <c r="C283" s="3" t="s">
        <v>654</v>
      </c>
      <c r="G283" s="4">
        <v>0.1</v>
      </c>
      <c r="H283" s="17">
        <v>2.240292876605175E-4</v>
      </c>
      <c r="I283" s="17">
        <v>2.240292876605175E-4</v>
      </c>
      <c r="J283" s="3">
        <v>1.7922343012841401E-4</v>
      </c>
      <c r="K283" s="3">
        <v>2.6883514519262098E-4</v>
      </c>
      <c r="L283" s="3">
        <v>2</v>
      </c>
      <c r="N283" s="5">
        <v>282</v>
      </c>
      <c r="O283" s="18"/>
      <c r="P283" s="17"/>
    </row>
    <row r="284" spans="1:16" x14ac:dyDescent="0.35">
      <c r="A284" s="3" t="s">
        <v>1156</v>
      </c>
      <c r="B284" s="3" t="s">
        <v>655</v>
      </c>
      <c r="C284" s="3" t="s">
        <v>613</v>
      </c>
      <c r="G284" s="4">
        <v>1.819999999999999</v>
      </c>
      <c r="H284" s="17">
        <v>6.2614734793138794E-3</v>
      </c>
      <c r="I284" s="17">
        <v>6.2614734793138794E-3</v>
      </c>
      <c r="J284" s="3">
        <v>2.5074490266799769E-3</v>
      </c>
      <c r="K284" s="3">
        <v>3.761173540019965E-3</v>
      </c>
      <c r="L284" s="3">
        <v>2</v>
      </c>
      <c r="N284" s="5">
        <v>283</v>
      </c>
      <c r="O284" s="18"/>
      <c r="P284" s="17"/>
    </row>
    <row r="285" spans="1:16" x14ac:dyDescent="0.35">
      <c r="A285" s="3" t="s">
        <v>1157</v>
      </c>
      <c r="B285" s="3" t="s">
        <v>656</v>
      </c>
      <c r="C285" s="3" t="s">
        <v>633</v>
      </c>
      <c r="G285" s="4">
        <v>0.1</v>
      </c>
      <c r="H285" s="17">
        <v>2.9726238113784382E-3</v>
      </c>
      <c r="I285" s="17">
        <v>2.9726238113784382E-3</v>
      </c>
      <c r="J285" s="3">
        <v>2.3780990491027508E-3</v>
      </c>
      <c r="K285" s="3">
        <v>3.5671485736541255E-3</v>
      </c>
      <c r="L285" s="3">
        <v>2</v>
      </c>
      <c r="N285" s="5">
        <v>284</v>
      </c>
      <c r="O285" s="18"/>
      <c r="P285" s="17"/>
    </row>
    <row r="286" spans="1:16" x14ac:dyDescent="0.35">
      <c r="A286" s="3" t="s">
        <v>1158</v>
      </c>
      <c r="B286" s="3" t="s">
        <v>657</v>
      </c>
      <c r="C286" s="3" t="s">
        <v>641</v>
      </c>
      <c r="G286" s="4">
        <v>2.9024999999999999</v>
      </c>
      <c r="H286" s="17">
        <v>1.649152644431533E-3</v>
      </c>
      <c r="I286" s="17">
        <v>1.649152644431533E-3</v>
      </c>
      <c r="J286" s="3">
        <v>1.3193221155452265E-3</v>
      </c>
      <c r="K286" s="3">
        <v>1.9789831733178394E-3</v>
      </c>
      <c r="L286" s="3">
        <v>2</v>
      </c>
      <c r="N286" s="5">
        <v>285</v>
      </c>
      <c r="O286" s="18"/>
      <c r="P286" s="17"/>
    </row>
    <row r="287" spans="1:16" x14ac:dyDescent="0.35">
      <c r="A287" s="3" t="s">
        <v>1159</v>
      </c>
      <c r="B287" s="3" t="s">
        <v>658</v>
      </c>
      <c r="C287" s="3" t="s">
        <v>642</v>
      </c>
      <c r="G287" s="4">
        <v>0.1</v>
      </c>
      <c r="H287" s="17">
        <v>1.458450733008512E-3</v>
      </c>
      <c r="I287" s="17">
        <v>1.458450733008512E-3</v>
      </c>
      <c r="J287" s="3">
        <v>1.1667605864068096E-3</v>
      </c>
      <c r="K287" s="3">
        <v>1.7501408796102144E-3</v>
      </c>
      <c r="L287" s="3">
        <v>2</v>
      </c>
      <c r="N287" s="5">
        <v>286</v>
      </c>
      <c r="O287" s="18"/>
      <c r="P287" s="17"/>
    </row>
    <row r="288" spans="1:16" x14ac:dyDescent="0.35">
      <c r="A288" s="3" t="s">
        <v>1160</v>
      </c>
      <c r="B288" s="3" t="s">
        <v>658</v>
      </c>
      <c r="C288" s="3" t="s">
        <v>640</v>
      </c>
      <c r="G288" s="4">
        <v>0.54999999999999927</v>
      </c>
      <c r="H288" s="19">
        <v>2.750096271117314E-3</v>
      </c>
      <c r="I288" s="19">
        <v>2.750096271117314E-3</v>
      </c>
      <c r="J288" s="3">
        <v>2.2000770168938513E-3</v>
      </c>
      <c r="K288" s="3">
        <v>3.3001155253407767E-3</v>
      </c>
      <c r="L288" s="3">
        <v>2</v>
      </c>
      <c r="N288" s="5">
        <v>287</v>
      </c>
      <c r="O288" s="18"/>
      <c r="P288" s="17"/>
    </row>
    <row r="289" spans="1:16" x14ac:dyDescent="0.35">
      <c r="A289" s="3" t="s">
        <v>1161</v>
      </c>
      <c r="B289" s="3" t="s">
        <v>659</v>
      </c>
      <c r="C289" s="3" t="s">
        <v>644</v>
      </c>
      <c r="G289" s="4">
        <v>0.1</v>
      </c>
      <c r="H289" s="17">
        <v>2.696884317705392E-3</v>
      </c>
      <c r="I289" s="17">
        <v>2.696884317705392E-3</v>
      </c>
      <c r="J289" s="3">
        <v>1.1046153107945385E-3</v>
      </c>
      <c r="K289" s="3">
        <v>5.3937686354107841E-3</v>
      </c>
      <c r="L289" s="3">
        <v>2</v>
      </c>
      <c r="N289" s="5">
        <v>288</v>
      </c>
      <c r="O289" s="18"/>
      <c r="P289" s="17"/>
    </row>
    <row r="290" spans="1:16" x14ac:dyDescent="0.35">
      <c r="A290" s="3" t="s">
        <v>1162</v>
      </c>
      <c r="B290" s="3" t="s">
        <v>659</v>
      </c>
      <c r="C290" s="3" t="s">
        <v>648</v>
      </c>
      <c r="G290" s="4">
        <v>0.1</v>
      </c>
      <c r="H290" s="17">
        <v>8.5512750181557099E-4</v>
      </c>
      <c r="I290" s="17">
        <v>8.5512750181557099E-4</v>
      </c>
      <c r="J290" s="3">
        <v>1.354863031109361E-3</v>
      </c>
      <c r="K290" s="3">
        <v>2.0322945466640413E-3</v>
      </c>
      <c r="L290" s="3">
        <v>2</v>
      </c>
      <c r="N290" s="5">
        <v>289</v>
      </c>
      <c r="O290" s="18"/>
      <c r="P290" s="17"/>
    </row>
    <row r="291" spans="1:16" x14ac:dyDescent="0.35">
      <c r="A291" s="3" t="s">
        <v>1163</v>
      </c>
      <c r="B291" s="3" t="s">
        <v>660</v>
      </c>
      <c r="C291" s="3" t="s">
        <v>646</v>
      </c>
      <c r="G291" s="4">
        <v>0.1</v>
      </c>
      <c r="H291" s="17">
        <v>2.6168918481111031E-3</v>
      </c>
      <c r="I291" s="17">
        <v>2.6168918481111031E-3</v>
      </c>
      <c r="J291" s="3">
        <v>2.0935134784888826E-3</v>
      </c>
      <c r="K291" s="3">
        <v>3.1402702177333237E-3</v>
      </c>
      <c r="L291" s="3">
        <v>2</v>
      </c>
      <c r="N291" s="5">
        <v>290</v>
      </c>
      <c r="O291" s="18"/>
      <c r="P291" s="17"/>
    </row>
    <row r="292" spans="1:16" x14ac:dyDescent="0.35">
      <c r="A292" s="3" t="s">
        <v>1164</v>
      </c>
      <c r="B292" s="3" t="s">
        <v>661</v>
      </c>
      <c r="C292" s="3" t="s">
        <v>305</v>
      </c>
      <c r="G292" s="4">
        <v>0.66750000000000831</v>
      </c>
      <c r="H292" s="17">
        <v>1.011599762572738E-3</v>
      </c>
      <c r="I292" s="17">
        <v>1.011599762572738E-3</v>
      </c>
      <c r="J292" s="3">
        <v>4.3719763017128427E-3</v>
      </c>
      <c r="K292" s="3">
        <v>6.5579644525692636E-3</v>
      </c>
      <c r="L292" s="3">
        <v>2</v>
      </c>
      <c r="N292" s="5">
        <v>291</v>
      </c>
      <c r="O292" s="18"/>
      <c r="P292" s="17"/>
    </row>
    <row r="293" spans="1:16" x14ac:dyDescent="0.35">
      <c r="A293" s="3" t="s">
        <v>1165</v>
      </c>
      <c r="B293" s="3" t="s">
        <v>662</v>
      </c>
      <c r="C293" s="3" t="s">
        <v>663</v>
      </c>
      <c r="D293" s="3">
        <v>13.44</v>
      </c>
      <c r="E293" s="3">
        <v>13.44</v>
      </c>
      <c r="F293" s="3">
        <v>13.44</v>
      </c>
      <c r="G293" s="4">
        <v>13.44</v>
      </c>
      <c r="H293" s="17">
        <v>1.2538129186378481E-3</v>
      </c>
      <c r="I293" s="17">
        <v>1.2538129186378481E-3</v>
      </c>
      <c r="J293" s="3">
        <v>5.1556514025107925E-4</v>
      </c>
      <c r="K293" s="3">
        <v>7.7334771037661872E-4</v>
      </c>
      <c r="L293" s="3">
        <v>2</v>
      </c>
      <c r="N293" s="5">
        <v>292</v>
      </c>
      <c r="O293" s="18"/>
      <c r="P293" s="17"/>
    </row>
    <row r="294" spans="1:16" x14ac:dyDescent="0.35">
      <c r="A294" s="3" t="s">
        <v>1166</v>
      </c>
      <c r="B294" s="3" t="s">
        <v>664</v>
      </c>
      <c r="C294" s="3" t="s">
        <v>663</v>
      </c>
      <c r="G294" s="4">
        <v>18.649999999999999</v>
      </c>
      <c r="H294" s="17">
        <v>5.0232054053734191E-3</v>
      </c>
      <c r="I294" s="17">
        <v>5.0232054053734191E-3</v>
      </c>
      <c r="J294" s="3">
        <v>7.6225391666883162E-4</v>
      </c>
      <c r="K294" s="3">
        <v>1.1433808750032474E-3</v>
      </c>
      <c r="L294" s="3">
        <v>2</v>
      </c>
      <c r="N294" s="5">
        <v>293</v>
      </c>
      <c r="O294" s="18"/>
      <c r="P294" s="17"/>
    </row>
    <row r="295" spans="1:16" x14ac:dyDescent="0.35">
      <c r="A295" s="3" t="s">
        <v>1167</v>
      </c>
      <c r="B295" s="3" t="s">
        <v>665</v>
      </c>
      <c r="C295" s="3" t="s">
        <v>666</v>
      </c>
      <c r="G295" s="4">
        <v>69.889999999999986</v>
      </c>
      <c r="H295" s="17">
        <v>1.205605423465409E-3</v>
      </c>
      <c r="I295" s="17">
        <v>1.205605423465409E-3</v>
      </c>
      <c r="J295" s="3">
        <v>5.3710741071644262E-4</v>
      </c>
      <c r="K295" s="3">
        <v>8.0566111607466382E-4</v>
      </c>
      <c r="L295" s="3">
        <v>2</v>
      </c>
      <c r="N295" s="5">
        <v>294</v>
      </c>
      <c r="O295" s="18"/>
      <c r="P295" s="17"/>
    </row>
    <row r="296" spans="1:16" x14ac:dyDescent="0.35">
      <c r="A296" s="3" t="s">
        <v>1168</v>
      </c>
      <c r="B296" s="3" t="s">
        <v>663</v>
      </c>
      <c r="C296" s="3" t="s">
        <v>665</v>
      </c>
      <c r="G296" s="4">
        <v>32.090000000000003</v>
      </c>
      <c r="H296" s="17">
        <v>6.1594512159644198E-3</v>
      </c>
      <c r="I296" s="17">
        <v>6.1594512159644198E-3</v>
      </c>
      <c r="J296" s="3">
        <v>4.3297364269065265E-3</v>
      </c>
      <c r="K296" s="3">
        <v>6.4946046403597888E-3</v>
      </c>
      <c r="L296" s="3">
        <v>2</v>
      </c>
      <c r="N296" s="5">
        <v>295</v>
      </c>
      <c r="O296" s="18"/>
      <c r="P296" s="17"/>
    </row>
    <row r="297" spans="1:16" x14ac:dyDescent="0.35">
      <c r="A297" s="3" t="s">
        <v>1169</v>
      </c>
      <c r="B297" s="3" t="s">
        <v>667</v>
      </c>
      <c r="C297" s="3" t="s">
        <v>531</v>
      </c>
      <c r="G297" s="4">
        <v>7.6650000000000009</v>
      </c>
      <c r="H297" s="17">
        <v>1.3840398573805189E-3</v>
      </c>
      <c r="I297" s="17">
        <v>1.3840398573805189E-3</v>
      </c>
      <c r="J297" s="3">
        <f>I297*0.1</f>
        <v>1.3840398573805189E-4</v>
      </c>
      <c r="K297" s="3">
        <f>I297*10</f>
        <v>1.3840398573805189E-2</v>
      </c>
      <c r="L297" s="3">
        <v>2</v>
      </c>
      <c r="N297" s="5">
        <v>296</v>
      </c>
      <c r="O297" s="18"/>
      <c r="P297" s="17"/>
    </row>
    <row r="298" spans="1:16" x14ac:dyDescent="0.35">
      <c r="A298" s="3" t="s">
        <v>1170</v>
      </c>
      <c r="B298" s="3" t="s">
        <v>668</v>
      </c>
      <c r="C298" s="3" t="s">
        <v>669</v>
      </c>
      <c r="D298" s="3">
        <v>100.73</v>
      </c>
      <c r="E298" s="3">
        <v>100.73</v>
      </c>
      <c r="F298" s="3">
        <v>100.73</v>
      </c>
      <c r="G298" s="4">
        <v>100.73</v>
      </c>
      <c r="H298" s="17">
        <v>2.285894016855543E-4</v>
      </c>
      <c r="I298" s="17">
        <v>2.285894016855543E-4</v>
      </c>
      <c r="J298" s="3">
        <v>3.6795476152517259E-5</v>
      </c>
      <c r="K298" s="3">
        <v>5.5193214228775878E-5</v>
      </c>
      <c r="L298" s="3">
        <v>2</v>
      </c>
      <c r="N298" s="5">
        <v>297</v>
      </c>
      <c r="O298" s="18"/>
      <c r="P298" s="17"/>
    </row>
    <row r="299" spans="1:16" x14ac:dyDescent="0.35">
      <c r="A299" s="3" t="s">
        <v>1171</v>
      </c>
      <c r="B299" s="3" t="s">
        <v>670</v>
      </c>
      <c r="C299" s="3" t="s">
        <v>565</v>
      </c>
      <c r="G299" s="4">
        <v>0.1</v>
      </c>
      <c r="H299" s="19">
        <v>5.0872581906648258E-3</v>
      </c>
      <c r="I299" s="19">
        <v>5.0872581906648258E-3</v>
      </c>
      <c r="J299" s="3">
        <v>4.4090194979607674E-3</v>
      </c>
      <c r="K299" s="3">
        <v>6.6135292469411506E-3</v>
      </c>
      <c r="L299" s="3">
        <v>2</v>
      </c>
      <c r="N299" s="5">
        <v>298</v>
      </c>
      <c r="O299" s="18"/>
      <c r="P299" s="17"/>
    </row>
    <row r="300" spans="1:16" x14ac:dyDescent="0.35">
      <c r="A300" s="3" t="s">
        <v>1172</v>
      </c>
      <c r="B300" s="3" t="s">
        <v>671</v>
      </c>
      <c r="C300" s="3" t="s">
        <v>576</v>
      </c>
      <c r="G300" s="4">
        <v>8.15</v>
      </c>
      <c r="H300" s="17">
        <v>4.9049300590950388E-3</v>
      </c>
      <c r="I300" s="17">
        <v>4.9049300590950388E-3</v>
      </c>
      <c r="J300" s="3">
        <v>3.1884146157788659E-3</v>
      </c>
      <c r="K300" s="3">
        <v>4.7826219236682989E-3</v>
      </c>
      <c r="L300" s="3">
        <v>2</v>
      </c>
      <c r="N300" s="5">
        <v>299</v>
      </c>
      <c r="O300" s="18"/>
      <c r="P300" s="17"/>
    </row>
    <row r="301" spans="1:16" x14ac:dyDescent="0.35">
      <c r="A301" s="3" t="s">
        <v>1173</v>
      </c>
      <c r="B301" s="3" t="s">
        <v>671</v>
      </c>
      <c r="C301" s="3" t="s">
        <v>574</v>
      </c>
      <c r="G301" s="4">
        <v>1.349999999999989</v>
      </c>
      <c r="H301" s="17">
        <v>3.660532725023989E-3</v>
      </c>
      <c r="I301" s="17">
        <v>3.660532725023989E-3</v>
      </c>
      <c r="J301" s="3">
        <v>2.9284261800191914E-3</v>
      </c>
      <c r="K301" s="3">
        <v>4.3926392700287869E-3</v>
      </c>
      <c r="L301" s="3">
        <v>2</v>
      </c>
      <c r="N301" s="5">
        <v>300</v>
      </c>
      <c r="O301" s="18"/>
      <c r="P301" s="17"/>
    </row>
    <row r="302" spans="1:16" x14ac:dyDescent="0.35">
      <c r="A302" s="3" t="s">
        <v>1174</v>
      </c>
      <c r="B302" s="3" t="s">
        <v>672</v>
      </c>
      <c r="C302" s="3" t="s">
        <v>578</v>
      </c>
      <c r="G302" s="4">
        <v>0.1</v>
      </c>
      <c r="H302" s="17">
        <v>3.0293541695783381E-3</v>
      </c>
      <c r="I302" s="17">
        <v>3.0293541695783381E-3</v>
      </c>
      <c r="J302" s="3">
        <v>2.4234833356626705E-3</v>
      </c>
      <c r="K302" s="3">
        <v>3.6352250034940056E-3</v>
      </c>
      <c r="L302" s="3">
        <v>2</v>
      </c>
      <c r="N302" s="5">
        <v>301</v>
      </c>
      <c r="O302" s="18"/>
      <c r="P302" s="17"/>
    </row>
    <row r="303" spans="1:16" x14ac:dyDescent="0.35">
      <c r="A303" s="3" t="s">
        <v>1175</v>
      </c>
      <c r="B303" s="3" t="s">
        <v>673</v>
      </c>
      <c r="C303" s="3" t="s">
        <v>581</v>
      </c>
      <c r="D303" s="3">
        <v>3</v>
      </c>
      <c r="E303" s="3">
        <v>3</v>
      </c>
      <c r="F303" s="3">
        <v>3</v>
      </c>
      <c r="G303" s="4">
        <v>3</v>
      </c>
      <c r="H303" s="17">
        <v>6.3753832111634471E-3</v>
      </c>
      <c r="I303" s="17">
        <v>6.3753832111634471E-3</v>
      </c>
      <c r="J303" s="3">
        <v>5.1003065689307582E-3</v>
      </c>
      <c r="K303" s="3">
        <v>7.650459853396136E-3</v>
      </c>
      <c r="L303" s="3">
        <v>2</v>
      </c>
      <c r="N303" s="5">
        <v>302</v>
      </c>
      <c r="O303" s="18"/>
      <c r="P303" s="17"/>
    </row>
    <row r="304" spans="1:16" x14ac:dyDescent="0.35">
      <c r="A304" s="3" t="s">
        <v>1176</v>
      </c>
      <c r="B304" s="3" t="s">
        <v>674</v>
      </c>
      <c r="C304" s="3" t="s">
        <v>586</v>
      </c>
      <c r="G304" s="4">
        <v>1.919999999999989</v>
      </c>
      <c r="H304" s="17">
        <v>2.801211323118084E-3</v>
      </c>
      <c r="I304" s="17">
        <v>2.801211323118084E-3</v>
      </c>
      <c r="J304" s="3">
        <v>2.2409690584944673E-3</v>
      </c>
      <c r="K304" s="3">
        <v>3.3614535877417007E-3</v>
      </c>
      <c r="L304" s="3">
        <v>2</v>
      </c>
      <c r="N304" s="5">
        <v>303</v>
      </c>
      <c r="O304" s="18"/>
      <c r="P304" s="17"/>
    </row>
    <row r="305" spans="1:16" x14ac:dyDescent="0.35">
      <c r="A305" s="3" t="s">
        <v>1177</v>
      </c>
      <c r="B305" s="3" t="s">
        <v>675</v>
      </c>
      <c r="C305" s="3" t="s">
        <v>676</v>
      </c>
      <c r="G305" s="4">
        <v>407.79</v>
      </c>
      <c r="H305" s="17">
        <v>7.8296991195347002E-5</v>
      </c>
      <c r="I305" s="17">
        <v>7.8296991195347002E-5</v>
      </c>
      <c r="J305" s="3">
        <v>1.4107263991735833E-5</v>
      </c>
      <c r="K305" s="3">
        <v>2.1160895987603746E-5</v>
      </c>
      <c r="L305" s="3">
        <v>2</v>
      </c>
      <c r="N305" s="5">
        <v>304</v>
      </c>
      <c r="O305" s="18"/>
      <c r="P305" s="17"/>
    </row>
    <row r="306" spans="1:16" x14ac:dyDescent="0.35">
      <c r="A306" s="3" t="s">
        <v>1178</v>
      </c>
      <c r="B306" s="3" t="s">
        <v>676</v>
      </c>
      <c r="C306" s="3" t="s">
        <v>468</v>
      </c>
      <c r="D306" s="3">
        <v>229.88</v>
      </c>
      <c r="E306" s="3">
        <v>229.88</v>
      </c>
      <c r="F306" s="3">
        <v>229.88</v>
      </c>
      <c r="G306" s="4">
        <v>229.88</v>
      </c>
      <c r="H306" s="17">
        <v>2.9959165301864728E-4</v>
      </c>
      <c r="I306" s="17">
        <v>2.9959165301864728E-4</v>
      </c>
      <c r="J306" s="3">
        <v>2.8977731365221831E-4</v>
      </c>
      <c r="K306" s="3">
        <v>4.3466597047832746E-4</v>
      </c>
      <c r="L306" s="3">
        <v>2</v>
      </c>
      <c r="N306" s="5">
        <v>305</v>
      </c>
      <c r="O306" s="18"/>
      <c r="P306" s="17"/>
    </row>
    <row r="307" spans="1:16" x14ac:dyDescent="0.35">
      <c r="A307" s="3" t="s">
        <v>1179</v>
      </c>
      <c r="B307" s="3" t="s">
        <v>677</v>
      </c>
      <c r="C307" s="3" t="s">
        <v>299</v>
      </c>
      <c r="D307" s="3">
        <v>159.27000000000001</v>
      </c>
      <c r="E307" s="3">
        <v>159.27000000000001</v>
      </c>
      <c r="F307" s="3">
        <v>159.27000000000001</v>
      </c>
      <c r="G307" s="4">
        <v>159.27000000000001</v>
      </c>
      <c r="H307" s="17">
        <v>3.1397298245133061E-4</v>
      </c>
      <c r="I307" s="17">
        <v>3.1397298245133061E-4</v>
      </c>
      <c r="J307" s="3">
        <v>7.0542019800057376E-5</v>
      </c>
      <c r="K307" s="3">
        <v>1.0581302970008606E-4</v>
      </c>
      <c r="L307" s="3">
        <v>2</v>
      </c>
      <c r="N307" s="5">
        <v>306</v>
      </c>
      <c r="O307" s="18"/>
      <c r="P307" s="17"/>
    </row>
    <row r="308" spans="1:16" x14ac:dyDescent="0.35">
      <c r="A308" s="7" t="s">
        <v>1180</v>
      </c>
      <c r="B308" s="7" t="s">
        <v>677</v>
      </c>
      <c r="C308" s="7" t="s">
        <v>523</v>
      </c>
      <c r="D308" s="7"/>
      <c r="E308" s="7"/>
      <c r="F308" s="7"/>
      <c r="G308" s="11">
        <v>18.63999999999999</v>
      </c>
      <c r="H308" s="8">
        <v>25</v>
      </c>
      <c r="I308" s="22">
        <v>1.2176918879741861E-3</v>
      </c>
      <c r="J308" s="7">
        <v>4.0428951394594706E-6</v>
      </c>
      <c r="K308" s="7">
        <v>6.0884594398709302E-2</v>
      </c>
      <c r="L308" s="7">
        <v>2</v>
      </c>
      <c r="M308" s="7"/>
      <c r="N308" s="8">
        <v>307</v>
      </c>
      <c r="O308" s="18"/>
      <c r="P308" s="17"/>
    </row>
    <row r="309" spans="1:16" x14ac:dyDescent="0.35">
      <c r="A309" s="3" t="s">
        <v>1181</v>
      </c>
      <c r="B309" s="3" t="s">
        <v>479</v>
      </c>
      <c r="C309" s="3" t="s">
        <v>678</v>
      </c>
      <c r="G309" s="4">
        <v>29.44</v>
      </c>
      <c r="H309" s="17">
        <v>3.3258738373541062E-3</v>
      </c>
      <c r="I309" s="17">
        <v>3.3258738373541062E-3</v>
      </c>
      <c r="J309" s="3">
        <v>4.8958138497801765E-3</v>
      </c>
      <c r="K309" s="3">
        <v>7.3437207746702643E-3</v>
      </c>
      <c r="L309" s="3">
        <v>2</v>
      </c>
      <c r="N309" s="5">
        <v>308</v>
      </c>
      <c r="O309" s="18"/>
      <c r="P309" s="17"/>
    </row>
    <row r="310" spans="1:16" x14ac:dyDescent="0.35">
      <c r="A310" s="3" t="s">
        <v>1182</v>
      </c>
      <c r="B310" s="3" t="s">
        <v>469</v>
      </c>
      <c r="C310" s="3" t="s">
        <v>679</v>
      </c>
      <c r="D310" s="3">
        <v>69</v>
      </c>
      <c r="E310" s="3">
        <v>69</v>
      </c>
      <c r="F310" s="3">
        <v>69</v>
      </c>
      <c r="G310" s="4">
        <v>69</v>
      </c>
      <c r="H310" s="17">
        <v>3.0997386094633989E-4</v>
      </c>
      <c r="I310" s="17">
        <v>3.0997386094633989E-4</v>
      </c>
      <c r="J310" s="3">
        <v>2.9876582294738482E-4</v>
      </c>
      <c r="K310" s="3">
        <v>4.4814873442107722E-4</v>
      </c>
      <c r="L310" s="3">
        <v>2</v>
      </c>
      <c r="N310" s="5">
        <v>309</v>
      </c>
      <c r="O310" s="18"/>
      <c r="P310" s="17"/>
    </row>
    <row r="311" spans="1:16" x14ac:dyDescent="0.35">
      <c r="A311" s="3" t="s">
        <v>1183</v>
      </c>
      <c r="B311" s="3" t="s">
        <v>679</v>
      </c>
      <c r="C311" s="3" t="s">
        <v>680</v>
      </c>
      <c r="D311" s="3">
        <v>63.08</v>
      </c>
      <c r="E311" s="3">
        <v>63.08</v>
      </c>
      <c r="F311" s="3">
        <v>63.08</v>
      </c>
      <c r="G311" s="4">
        <v>63.08</v>
      </c>
      <c r="H311" s="17">
        <v>5.0269469966533645E-4</v>
      </c>
      <c r="I311" s="17">
        <v>5.0269469966533645E-4</v>
      </c>
      <c r="J311" s="3">
        <v>6.0666150191010732E-4</v>
      </c>
      <c r="K311" s="3">
        <v>9.0999225286516098E-4</v>
      </c>
      <c r="L311" s="3">
        <v>2</v>
      </c>
      <c r="N311" s="5">
        <v>310</v>
      </c>
      <c r="O311" s="18"/>
      <c r="P311" s="17"/>
    </row>
    <row r="312" spans="1:16" x14ac:dyDescent="0.35">
      <c r="A312" s="3" t="s">
        <v>1184</v>
      </c>
      <c r="B312" s="3" t="s">
        <v>680</v>
      </c>
      <c r="C312" s="3" t="s">
        <v>681</v>
      </c>
      <c r="D312" s="3">
        <v>62.16</v>
      </c>
      <c r="E312" s="3">
        <v>62.16</v>
      </c>
      <c r="F312" s="3">
        <v>62.16</v>
      </c>
      <c r="G312" s="4">
        <v>62.16</v>
      </c>
      <c r="H312" s="17">
        <v>3.2455577341075419E-4</v>
      </c>
      <c r="I312" s="17">
        <v>3.2455577341075419E-4</v>
      </c>
      <c r="J312" s="3">
        <v>1.298434472037872E-4</v>
      </c>
      <c r="K312" s="3">
        <v>1.9476517080568078E-4</v>
      </c>
      <c r="L312" s="3">
        <v>2</v>
      </c>
      <c r="N312" s="5">
        <v>311</v>
      </c>
      <c r="O312" s="18"/>
      <c r="P312" s="17"/>
    </row>
    <row r="313" spans="1:16" x14ac:dyDescent="0.35">
      <c r="A313" s="3" t="s">
        <v>1185</v>
      </c>
      <c r="B313" s="3" t="s">
        <v>681</v>
      </c>
      <c r="C313" s="3" t="s">
        <v>682</v>
      </c>
      <c r="D313" s="3">
        <v>59.74</v>
      </c>
      <c r="E313" s="3">
        <v>59.74</v>
      </c>
      <c r="F313" s="3">
        <v>59.74</v>
      </c>
      <c r="G313" s="4">
        <v>59.74</v>
      </c>
      <c r="H313" s="17">
        <v>2.360143441030027E-4</v>
      </c>
      <c r="I313" s="17">
        <v>2.360143441030027E-4</v>
      </c>
      <c r="J313" s="3">
        <v>1.0459661456736969E-4</v>
      </c>
      <c r="K313" s="3">
        <v>1.5689492185105451E-4</v>
      </c>
      <c r="L313" s="3">
        <v>2</v>
      </c>
      <c r="N313" s="5">
        <v>312</v>
      </c>
      <c r="O313" s="18"/>
      <c r="P313" s="17"/>
    </row>
    <row r="314" spans="1:16" x14ac:dyDescent="0.35">
      <c r="A314" s="3" t="s">
        <v>1186</v>
      </c>
      <c r="B314" s="3" t="s">
        <v>682</v>
      </c>
      <c r="C314" s="3" t="s">
        <v>683</v>
      </c>
      <c r="D314" s="3">
        <v>55.65</v>
      </c>
      <c r="E314" s="3">
        <v>55.65</v>
      </c>
      <c r="F314" s="3">
        <v>55.65</v>
      </c>
      <c r="G314" s="4">
        <v>55.65</v>
      </c>
      <c r="H314" s="17">
        <v>1.8051567958629199E-4</v>
      </c>
      <c r="I314" s="17">
        <v>1.8051567958629199E-4</v>
      </c>
      <c r="J314" s="3">
        <v>7.2226346349152709E-5</v>
      </c>
      <c r="K314" s="3">
        <v>1.0833951952372906E-4</v>
      </c>
      <c r="L314" s="3">
        <v>2</v>
      </c>
      <c r="N314" s="5">
        <v>313</v>
      </c>
      <c r="O314" s="18"/>
      <c r="P314" s="17"/>
    </row>
    <row r="315" spans="1:16" x14ac:dyDescent="0.35">
      <c r="A315" s="3" t="s">
        <v>1187</v>
      </c>
      <c r="B315" s="3" t="s">
        <v>684</v>
      </c>
      <c r="C315" s="3" t="s">
        <v>685</v>
      </c>
      <c r="D315" s="3">
        <v>49.86</v>
      </c>
      <c r="E315" s="3">
        <v>49.86</v>
      </c>
      <c r="F315" s="3">
        <v>49.86</v>
      </c>
      <c r="G315" s="4">
        <v>49.86</v>
      </c>
      <c r="H315" s="17">
        <v>1.4177076606552831E-4</v>
      </c>
      <c r="I315" s="17">
        <v>1.4177076606552831E-4</v>
      </c>
      <c r="J315" s="3">
        <v>6.9681741906183595E-5</v>
      </c>
      <c r="K315" s="3">
        <v>1.0452261285927537E-4</v>
      </c>
      <c r="L315" s="3">
        <v>2</v>
      </c>
      <c r="N315" s="5">
        <v>314</v>
      </c>
      <c r="O315" s="18"/>
      <c r="P315" s="17"/>
    </row>
    <row r="316" spans="1:16" x14ac:dyDescent="0.35">
      <c r="A316" s="3" t="s">
        <v>1188</v>
      </c>
      <c r="B316" s="3" t="s">
        <v>685</v>
      </c>
      <c r="C316" s="3" t="s">
        <v>686</v>
      </c>
      <c r="D316" s="3">
        <v>47.09</v>
      </c>
      <c r="E316" s="3">
        <v>47.09</v>
      </c>
      <c r="F316" s="3">
        <v>47.09</v>
      </c>
      <c r="G316" s="4">
        <v>47.09</v>
      </c>
      <c r="H316" s="17">
        <v>3.7907380801588912E-4</v>
      </c>
      <c r="I316" s="17">
        <v>3.7907380801588912E-4</v>
      </c>
      <c r="J316" s="3">
        <v>4.0442157242226461E-4</v>
      </c>
      <c r="K316" s="3">
        <v>6.0663235863339681E-4</v>
      </c>
      <c r="L316" s="3">
        <v>2</v>
      </c>
      <c r="N316" s="5">
        <v>315</v>
      </c>
      <c r="O316" s="18"/>
      <c r="P316" s="17"/>
    </row>
    <row r="317" spans="1:16" x14ac:dyDescent="0.35">
      <c r="A317" s="3" t="s">
        <v>1189</v>
      </c>
      <c r="B317" s="3" t="s">
        <v>686</v>
      </c>
      <c r="C317" s="3" t="s">
        <v>687</v>
      </c>
      <c r="D317" s="3">
        <v>46.09</v>
      </c>
      <c r="E317" s="3">
        <v>46.09</v>
      </c>
      <c r="F317" s="3">
        <v>46.09</v>
      </c>
      <c r="G317" s="4">
        <v>46.09</v>
      </c>
      <c r="H317" s="17">
        <v>1.5324394578662351E-4</v>
      </c>
      <c r="I317" s="17">
        <v>1.5324394578662351E-4</v>
      </c>
      <c r="J317" s="3">
        <v>6.5339010978534372E-5</v>
      </c>
      <c r="K317" s="3">
        <v>9.8008516467801551E-5</v>
      </c>
      <c r="L317" s="3">
        <v>2</v>
      </c>
      <c r="N317" s="5">
        <v>316</v>
      </c>
      <c r="O317" s="18"/>
      <c r="P317" s="17"/>
    </row>
    <row r="318" spans="1:16" x14ac:dyDescent="0.35">
      <c r="A318" s="3" t="s">
        <v>1190</v>
      </c>
      <c r="B318" s="3" t="s">
        <v>687</v>
      </c>
      <c r="C318" s="3" t="s">
        <v>688</v>
      </c>
      <c r="D318" s="3">
        <v>45.66</v>
      </c>
      <c r="E318" s="3">
        <v>45.66</v>
      </c>
      <c r="F318" s="3">
        <v>45.66</v>
      </c>
      <c r="G318" s="4">
        <v>45.66</v>
      </c>
      <c r="H318" s="17">
        <v>3.8505754769622329E-4</v>
      </c>
      <c r="I318" s="17">
        <v>3.8505754769622329E-4</v>
      </c>
      <c r="J318" s="3">
        <v>1.5578259487146977E-4</v>
      </c>
      <c r="K318" s="3">
        <v>2.3367389230720463E-4</v>
      </c>
      <c r="L318" s="3">
        <v>2</v>
      </c>
      <c r="N318" s="5">
        <v>317</v>
      </c>
      <c r="O318" s="18"/>
      <c r="P318" s="17"/>
    </row>
    <row r="319" spans="1:16" x14ac:dyDescent="0.35">
      <c r="A319" s="3" t="s">
        <v>1191</v>
      </c>
      <c r="B319" s="3" t="s">
        <v>688</v>
      </c>
      <c r="C319" s="3" t="s">
        <v>689</v>
      </c>
      <c r="D319" s="3">
        <v>43.35</v>
      </c>
      <c r="E319" s="3">
        <v>43.35</v>
      </c>
      <c r="F319" s="3">
        <v>43.35</v>
      </c>
      <c r="G319" s="4">
        <v>43.35</v>
      </c>
      <c r="H319" s="17">
        <v>1.8747025160669001E-4</v>
      </c>
      <c r="I319" s="17">
        <v>1.8747025160669001E-4</v>
      </c>
      <c r="J319" s="3">
        <v>1.0945340202271545E-4</v>
      </c>
      <c r="K319" s="3">
        <v>1.6418010303407315E-4</v>
      </c>
      <c r="L319" s="3">
        <v>2</v>
      </c>
      <c r="N319" s="5">
        <v>318</v>
      </c>
      <c r="O319" s="18"/>
      <c r="P319" s="17"/>
    </row>
    <row r="320" spans="1:16" x14ac:dyDescent="0.35">
      <c r="A320" s="3" t="s">
        <v>1192</v>
      </c>
      <c r="B320" s="3" t="s">
        <v>689</v>
      </c>
      <c r="C320" s="3" t="s">
        <v>690</v>
      </c>
      <c r="D320" s="3">
        <v>39.020000000000003</v>
      </c>
      <c r="E320" s="3">
        <v>39.020000000000003</v>
      </c>
      <c r="F320" s="3">
        <v>39.020000000000003</v>
      </c>
      <c r="G320" s="4">
        <v>39.020000000000003</v>
      </c>
      <c r="H320" s="17">
        <v>3.9586623040797962E-4</v>
      </c>
      <c r="I320" s="17">
        <v>3.9586623040797962E-4</v>
      </c>
      <c r="J320" s="3">
        <v>1.7574628697453914E-4</v>
      </c>
      <c r="K320" s="3">
        <v>2.6361943046180865E-4</v>
      </c>
      <c r="L320" s="3">
        <v>2</v>
      </c>
      <c r="N320" s="5">
        <v>319</v>
      </c>
      <c r="O320" s="18"/>
      <c r="P320" s="17"/>
    </row>
    <row r="321" spans="1:16" x14ac:dyDescent="0.35">
      <c r="A321" s="3" t="s">
        <v>1193</v>
      </c>
      <c r="B321" s="3" t="s">
        <v>691</v>
      </c>
      <c r="C321" s="3" t="s">
        <v>692</v>
      </c>
      <c r="G321" s="4">
        <v>36.029999999999987</v>
      </c>
      <c r="H321" s="17">
        <v>2.1020706399097039E-4</v>
      </c>
      <c r="I321" s="17">
        <v>2.1020706399097039E-4</v>
      </c>
      <c r="J321" s="3">
        <v>8.8273782257082813E-5</v>
      </c>
      <c r="K321" s="3">
        <v>1.3241067338562421E-4</v>
      </c>
      <c r="L321" s="3">
        <v>2</v>
      </c>
      <c r="N321" s="5">
        <v>320</v>
      </c>
      <c r="O321" s="18"/>
      <c r="P321" s="17"/>
    </row>
    <row r="322" spans="1:16" x14ac:dyDescent="0.35">
      <c r="A322" s="3" t="s">
        <v>1194</v>
      </c>
      <c r="B322" s="3" t="s">
        <v>692</v>
      </c>
      <c r="C322" s="3" t="s">
        <v>693</v>
      </c>
      <c r="G322" s="4">
        <v>34.597499999999997</v>
      </c>
      <c r="H322" s="17">
        <v>2.5447209790291153E-4</v>
      </c>
      <c r="I322" s="17">
        <v>2.5447209790291153E-4</v>
      </c>
      <c r="J322" s="3">
        <v>7.9634447927452972E-4</v>
      </c>
      <c r="K322" s="3">
        <v>1.1945167189117945E-3</v>
      </c>
      <c r="L322" s="3">
        <v>2</v>
      </c>
      <c r="N322" s="5">
        <v>321</v>
      </c>
      <c r="O322" s="18"/>
      <c r="P322" s="17"/>
    </row>
    <row r="323" spans="1:16" x14ac:dyDescent="0.35">
      <c r="A323" s="3" t="s">
        <v>1195</v>
      </c>
      <c r="B323" s="3" t="s">
        <v>693</v>
      </c>
      <c r="C323" s="3" t="s">
        <v>694</v>
      </c>
      <c r="G323" s="4">
        <v>34.207500000000003</v>
      </c>
      <c r="H323" s="17">
        <v>2.2626900386231259E-4</v>
      </c>
      <c r="I323" s="17">
        <v>2.2626900386231259E-4</v>
      </c>
      <c r="J323" s="3">
        <v>2.9989337989711379E-4</v>
      </c>
      <c r="K323" s="3">
        <v>4.498400698456706E-4</v>
      </c>
      <c r="L323" s="3">
        <v>2</v>
      </c>
      <c r="N323" s="5">
        <v>322</v>
      </c>
      <c r="O323" s="18"/>
      <c r="P323" s="17"/>
    </row>
    <row r="324" spans="1:16" x14ac:dyDescent="0.35">
      <c r="A324" s="3" t="s">
        <v>1196</v>
      </c>
      <c r="B324" s="3" t="s">
        <v>694</v>
      </c>
      <c r="C324" s="3" t="s">
        <v>695</v>
      </c>
      <c r="G324" s="4">
        <v>34.107500000000002</v>
      </c>
      <c r="H324" s="17">
        <v>2.5422466109363448E-4</v>
      </c>
      <c r="I324" s="17">
        <v>2.5422466109363448E-4</v>
      </c>
      <c r="J324" s="3">
        <v>2.0450615646182507E-5</v>
      </c>
      <c r="K324" s="3">
        <v>3.0675923469273754E-5</v>
      </c>
      <c r="L324" s="3">
        <v>2</v>
      </c>
      <c r="N324" s="5">
        <v>323</v>
      </c>
      <c r="O324" s="18"/>
      <c r="P324" s="17"/>
    </row>
    <row r="325" spans="1:16" x14ac:dyDescent="0.35">
      <c r="A325" s="3" t="s">
        <v>1197</v>
      </c>
      <c r="B325" s="3" t="s">
        <v>695</v>
      </c>
      <c r="C325" s="3" t="s">
        <v>696</v>
      </c>
      <c r="G325" s="4">
        <v>33.457500000000003</v>
      </c>
      <c r="H325" s="17">
        <v>3.122221168433756E-4</v>
      </c>
      <c r="I325" s="17">
        <v>3.122221168433756E-4</v>
      </c>
      <c r="J325" s="3">
        <v>1.561110584216878E-4</v>
      </c>
      <c r="K325" s="3">
        <v>2.6771150370851886E-4</v>
      </c>
      <c r="L325" s="3">
        <v>2</v>
      </c>
      <c r="N325" s="5">
        <v>324</v>
      </c>
      <c r="O325" s="18"/>
      <c r="P325" s="17"/>
    </row>
    <row r="326" spans="1:16" x14ac:dyDescent="0.35">
      <c r="A326" s="3" t="s">
        <v>1198</v>
      </c>
      <c r="B326" s="3" t="s">
        <v>696</v>
      </c>
      <c r="C326" s="3" t="s">
        <v>697</v>
      </c>
      <c r="G326" s="4">
        <v>33.257500000000007</v>
      </c>
      <c r="H326" s="17">
        <v>2.1054422182899111E-4</v>
      </c>
      <c r="I326" s="17">
        <v>2.1054422182899111E-4</v>
      </c>
      <c r="J326" s="3">
        <f>I326*0.8</f>
        <v>1.684353774631929E-4</v>
      </c>
      <c r="K326" s="3">
        <f>I326*1.2</f>
        <v>2.5265306619478932E-4</v>
      </c>
      <c r="L326" s="3">
        <v>2</v>
      </c>
      <c r="N326" s="5">
        <v>325</v>
      </c>
      <c r="O326" s="18"/>
      <c r="P326" s="17"/>
    </row>
    <row r="327" spans="1:16" x14ac:dyDescent="0.35">
      <c r="A327" s="3" t="s">
        <v>1199</v>
      </c>
      <c r="B327" s="3" t="s">
        <v>698</v>
      </c>
      <c r="C327" s="3" t="s">
        <v>699</v>
      </c>
      <c r="G327" s="4">
        <v>26.13750000000001</v>
      </c>
      <c r="H327" s="17">
        <v>4.1483115426919973E-3</v>
      </c>
      <c r="I327" s="17">
        <v>4.1483115426919973E-3</v>
      </c>
      <c r="J327" s="3">
        <v>3.5680946433561504E-3</v>
      </c>
      <c r="K327" s="3">
        <v>5.3521419650342256E-3</v>
      </c>
      <c r="L327" s="3">
        <v>2</v>
      </c>
      <c r="N327" s="5">
        <v>326</v>
      </c>
      <c r="O327" s="18"/>
      <c r="P327" s="17"/>
    </row>
    <row r="328" spans="1:16" x14ac:dyDescent="0.35">
      <c r="A328" s="3" t="s">
        <v>1200</v>
      </c>
      <c r="B328" s="3" t="s">
        <v>699</v>
      </c>
      <c r="C328" s="3" t="s">
        <v>700</v>
      </c>
      <c r="G328" s="4">
        <v>19.417500000000011</v>
      </c>
      <c r="H328" s="17">
        <v>2.1165174942837312E-3</v>
      </c>
      <c r="I328" s="17">
        <v>2.1165174942837312E-3</v>
      </c>
      <c r="J328" s="3">
        <f>I328*0.8</f>
        <v>1.693213995426985E-3</v>
      </c>
      <c r="K328" s="3">
        <f>I328*1.2</f>
        <v>2.5398209931404773E-3</v>
      </c>
      <c r="L328" s="3">
        <v>2</v>
      </c>
      <c r="N328" s="5">
        <v>327</v>
      </c>
      <c r="O328" s="18"/>
      <c r="P328" s="17"/>
    </row>
    <row r="329" spans="1:16" x14ac:dyDescent="0.35">
      <c r="A329" s="3" t="s">
        <v>1201</v>
      </c>
      <c r="B329" s="3" t="s">
        <v>701</v>
      </c>
      <c r="C329" s="3" t="s">
        <v>702</v>
      </c>
      <c r="D329" s="3">
        <v>125.32</v>
      </c>
      <c r="E329" s="3">
        <v>125.32</v>
      </c>
      <c r="F329" s="3">
        <v>125.32</v>
      </c>
      <c r="G329" s="4">
        <v>125.32</v>
      </c>
      <c r="H329" s="17">
        <v>4.7389248466722981E-4</v>
      </c>
      <c r="I329" s="17">
        <v>4.7389248466722981E-4</v>
      </c>
      <c r="J329" s="3">
        <v>6.5540127669781723E-4</v>
      </c>
      <c r="K329" s="3">
        <v>9.8310191504672579E-4</v>
      </c>
      <c r="L329" s="3">
        <v>2</v>
      </c>
      <c r="N329" s="5">
        <v>328</v>
      </c>
      <c r="O329" s="18"/>
      <c r="P329" s="17"/>
    </row>
    <row r="330" spans="1:16" x14ac:dyDescent="0.35">
      <c r="A330" s="3" t="s">
        <v>1202</v>
      </c>
      <c r="B330" s="3" t="s">
        <v>703</v>
      </c>
      <c r="C330" s="3" t="s">
        <v>704</v>
      </c>
      <c r="G330" s="4">
        <v>101.03</v>
      </c>
      <c r="H330" s="17">
        <v>4.5279858381638897E-4</v>
      </c>
      <c r="I330" s="17">
        <v>4.5279858381638897E-4</v>
      </c>
      <c r="J330" s="3">
        <v>9.856859322491786E-5</v>
      </c>
      <c r="K330" s="3">
        <v>1.4785288983737676E-4</v>
      </c>
      <c r="L330" s="3">
        <v>2</v>
      </c>
      <c r="N330" s="5">
        <v>329</v>
      </c>
      <c r="O330" s="18"/>
      <c r="P330" s="17"/>
    </row>
    <row r="331" spans="1:16" x14ac:dyDescent="0.35">
      <c r="A331" s="3" t="s">
        <v>1203</v>
      </c>
      <c r="B331" s="3" t="s">
        <v>704</v>
      </c>
      <c r="C331" s="3" t="s">
        <v>668</v>
      </c>
      <c r="G331" s="4">
        <v>100.93</v>
      </c>
      <c r="H331" s="17">
        <v>2.1142822621455519E-4</v>
      </c>
      <c r="I331" s="17">
        <v>2.1142822621455519E-4</v>
      </c>
      <c r="J331" s="3">
        <v>3.3861214807033123E-5</v>
      </c>
      <c r="K331" s="3">
        <v>5.0791822210549674E-5</v>
      </c>
      <c r="L331" s="3">
        <v>2</v>
      </c>
      <c r="N331" s="5">
        <v>330</v>
      </c>
      <c r="O331" s="18"/>
      <c r="P331" s="17"/>
    </row>
    <row r="332" spans="1:16" x14ac:dyDescent="0.35">
      <c r="A332" s="3" t="s">
        <v>1204</v>
      </c>
      <c r="B332" s="3" t="s">
        <v>705</v>
      </c>
      <c r="C332" s="3" t="s">
        <v>706</v>
      </c>
      <c r="D332" s="3">
        <v>54.86</v>
      </c>
      <c r="E332" s="3">
        <v>54.86</v>
      </c>
      <c r="F332" s="3">
        <v>54.86</v>
      </c>
      <c r="G332" s="4">
        <v>54.86</v>
      </c>
      <c r="H332" s="19">
        <v>2.6140289412851221E-4</v>
      </c>
      <c r="I332" s="19">
        <v>2.6140289412851221E-4</v>
      </c>
      <c r="J332" s="3">
        <v>1.3728265073249127E-4</v>
      </c>
      <c r="K332" s="3">
        <v>2.0592397609873691E-4</v>
      </c>
      <c r="L332" s="3">
        <v>2</v>
      </c>
      <c r="N332" s="5">
        <v>331</v>
      </c>
      <c r="O332" s="18"/>
      <c r="P332" s="17"/>
    </row>
    <row r="333" spans="1:16" x14ac:dyDescent="0.35">
      <c r="A333" s="3" t="s">
        <v>1205</v>
      </c>
      <c r="B333" s="3" t="s">
        <v>707</v>
      </c>
      <c r="C333" s="3" t="s">
        <v>708</v>
      </c>
      <c r="D333" s="3">
        <v>43.4</v>
      </c>
      <c r="E333" s="3">
        <v>43.4</v>
      </c>
      <c r="F333" s="3">
        <v>43.4</v>
      </c>
      <c r="G333" s="4">
        <v>43.4</v>
      </c>
      <c r="H333" s="17">
        <v>2.3632178282609979E-4</v>
      </c>
      <c r="I333" s="17">
        <v>2.3632178282609979E-4</v>
      </c>
      <c r="J333" s="3">
        <v>3.5925829210472978E-4</v>
      </c>
      <c r="K333" s="3">
        <v>5.3888743815709464E-4</v>
      </c>
      <c r="L333" s="3">
        <v>2</v>
      </c>
      <c r="N333" s="5">
        <v>332</v>
      </c>
      <c r="O333" s="18"/>
      <c r="P333" s="17"/>
    </row>
    <row r="334" spans="1:16" x14ac:dyDescent="0.35">
      <c r="A334" s="3" t="s">
        <v>1206</v>
      </c>
      <c r="B334" s="3" t="s">
        <v>708</v>
      </c>
      <c r="C334" s="3" t="s">
        <v>709</v>
      </c>
      <c r="D334" s="3">
        <v>40.01</v>
      </c>
      <c r="E334" s="3">
        <v>40.01</v>
      </c>
      <c r="F334" s="3">
        <v>40.01</v>
      </c>
      <c r="G334" s="4">
        <v>40.01</v>
      </c>
      <c r="H334" s="17">
        <v>2.9160217143190759E-4</v>
      </c>
      <c r="I334" s="17">
        <v>2.9160217143190759E-4</v>
      </c>
      <c r="J334" s="3">
        <v>6.8392463576698775E-5</v>
      </c>
      <c r="K334" s="3">
        <v>1.0258869536504815E-4</v>
      </c>
      <c r="L334" s="3">
        <v>2</v>
      </c>
      <c r="N334" s="5">
        <v>333</v>
      </c>
      <c r="O334" s="18"/>
      <c r="P334" s="17"/>
    </row>
    <row r="335" spans="1:16" x14ac:dyDescent="0.35">
      <c r="A335" s="3" t="s">
        <v>1207</v>
      </c>
      <c r="B335" s="3" t="s">
        <v>709</v>
      </c>
      <c r="C335" s="3" t="s">
        <v>710</v>
      </c>
      <c r="G335" s="4">
        <v>36.510000000000012</v>
      </c>
      <c r="H335" s="17">
        <v>1.185724347140965E-4</v>
      </c>
      <c r="I335" s="17">
        <v>1.185724347140965E-4</v>
      </c>
      <c r="J335" s="3">
        <v>4.7567918586635122E-5</v>
      </c>
      <c r="K335" s="3">
        <v>7.135187787995268E-5</v>
      </c>
      <c r="L335" s="3">
        <v>2</v>
      </c>
      <c r="N335" s="5">
        <v>334</v>
      </c>
      <c r="O335" s="18"/>
      <c r="P335" s="17"/>
    </row>
    <row r="336" spans="1:16" x14ac:dyDescent="0.35">
      <c r="A336" s="3" t="s">
        <v>1208</v>
      </c>
      <c r="B336" s="3" t="s">
        <v>711</v>
      </c>
      <c r="C336" s="3" t="s">
        <v>712</v>
      </c>
      <c r="D336" s="3">
        <v>30.6</v>
      </c>
      <c r="E336" s="3">
        <v>30.6</v>
      </c>
      <c r="F336" s="3">
        <v>30.6</v>
      </c>
      <c r="G336" s="4">
        <v>30.6</v>
      </c>
      <c r="H336" s="17">
        <v>3.1464648316428871E-4</v>
      </c>
      <c r="I336" s="17">
        <v>3.1464648316428871E-4</v>
      </c>
      <c r="J336" s="3">
        <v>1.2790666019749225E-4</v>
      </c>
      <c r="K336" s="3">
        <v>1.9185999029623833E-4</v>
      </c>
      <c r="L336" s="3">
        <v>2</v>
      </c>
      <c r="N336" s="5">
        <v>335</v>
      </c>
      <c r="O336" s="18"/>
      <c r="P336" s="17"/>
    </row>
    <row r="337" spans="1:16" x14ac:dyDescent="0.35">
      <c r="A337" s="3" t="s">
        <v>1209</v>
      </c>
      <c r="B337" s="3" t="s">
        <v>713</v>
      </c>
      <c r="C337" s="3" t="s">
        <v>714</v>
      </c>
      <c r="D337" s="3">
        <v>24.6</v>
      </c>
      <c r="E337" s="3">
        <v>24.6</v>
      </c>
      <c r="F337" s="3">
        <v>24.6</v>
      </c>
      <c r="G337" s="4">
        <v>24.6</v>
      </c>
      <c r="H337" s="17">
        <v>3.5165382890151958E-4</v>
      </c>
      <c r="I337" s="17">
        <v>3.5165382890151958E-4</v>
      </c>
      <c r="J337" s="3">
        <v>3.0448988823356067E-4</v>
      </c>
      <c r="K337" s="3">
        <v>4.5673483235034092E-4</v>
      </c>
      <c r="L337" s="3">
        <v>2</v>
      </c>
      <c r="N337" s="5">
        <v>336</v>
      </c>
      <c r="O337" s="18"/>
      <c r="P337" s="17"/>
    </row>
    <row r="338" spans="1:16" x14ac:dyDescent="0.35">
      <c r="A338" s="3" t="s">
        <v>1210</v>
      </c>
      <c r="B338" s="3" t="s">
        <v>714</v>
      </c>
      <c r="C338" s="3" t="s">
        <v>715</v>
      </c>
      <c r="G338" s="4">
        <v>24.310000000000009</v>
      </c>
      <c r="H338" s="17">
        <v>3.8982789279279101E-4</v>
      </c>
      <c r="I338" s="17">
        <v>3.8982789279279101E-4</v>
      </c>
      <c r="J338" s="3">
        <v>6.8314939435375381E-5</v>
      </c>
      <c r="K338" s="3">
        <v>1.0247240915306305E-4</v>
      </c>
      <c r="L338" s="3">
        <v>2</v>
      </c>
      <c r="N338" s="5">
        <v>337</v>
      </c>
      <c r="O338" s="18"/>
      <c r="P338" s="17"/>
    </row>
    <row r="339" spans="1:16" x14ac:dyDescent="0.35">
      <c r="A339" s="3" t="s">
        <v>1211</v>
      </c>
      <c r="B339" s="3" t="s">
        <v>715</v>
      </c>
      <c r="C339" s="3" t="s">
        <v>716</v>
      </c>
      <c r="G339" s="4">
        <v>20.989999999999991</v>
      </c>
      <c r="H339" s="17">
        <v>2.0493215422982651E-4</v>
      </c>
      <c r="I339" s="17">
        <v>2.0493215422982651E-4</v>
      </c>
      <c r="J339" s="3">
        <v>1.3611797083526119E-4</v>
      </c>
      <c r="K339" s="3">
        <v>2.0417695625289179E-4</v>
      </c>
      <c r="L339" s="3">
        <v>2</v>
      </c>
      <c r="N339" s="5">
        <v>338</v>
      </c>
      <c r="O339" s="18"/>
      <c r="P339" s="17"/>
    </row>
    <row r="340" spans="1:16" x14ac:dyDescent="0.35">
      <c r="A340" s="3" t="s">
        <v>1212</v>
      </c>
      <c r="B340" s="3" t="s">
        <v>717</v>
      </c>
      <c r="C340" s="3" t="s">
        <v>718</v>
      </c>
      <c r="D340" s="3">
        <v>9</v>
      </c>
      <c r="E340" s="3">
        <v>9</v>
      </c>
      <c r="F340" s="3">
        <v>9</v>
      </c>
      <c r="G340" s="4">
        <v>9</v>
      </c>
      <c r="H340" s="17">
        <v>1.7107543604442691E-4</v>
      </c>
      <c r="I340" s="17">
        <v>1.7107543604442691E-4</v>
      </c>
      <c r="J340" s="3">
        <v>1.1357545541103625E-3</v>
      </c>
      <c r="K340" s="3">
        <v>1.7036318311655434E-3</v>
      </c>
      <c r="L340" s="3">
        <v>2</v>
      </c>
      <c r="N340" s="5">
        <v>339</v>
      </c>
      <c r="O340" s="18"/>
      <c r="P340" s="17"/>
    </row>
    <row r="341" spans="1:16" x14ac:dyDescent="0.35">
      <c r="A341" s="3" t="s">
        <v>1213</v>
      </c>
      <c r="B341" s="3" t="s">
        <v>444</v>
      </c>
      <c r="C341" s="3" t="s">
        <v>26</v>
      </c>
      <c r="G341" s="4">
        <v>11.65</v>
      </c>
      <c r="H341" s="17">
        <v>2.968624492866578E-4</v>
      </c>
      <c r="I341" s="17">
        <v>2.968624492866578E-4</v>
      </c>
      <c r="J341" s="3">
        <f>I341*0.8</f>
        <v>2.3748995942932626E-4</v>
      </c>
      <c r="K341" s="3">
        <f>I341*1.2</f>
        <v>3.5623493914398933E-4</v>
      </c>
      <c r="L341" s="3">
        <v>2</v>
      </c>
      <c r="N341" s="5">
        <v>340</v>
      </c>
      <c r="O341" s="18"/>
      <c r="P341" s="17"/>
    </row>
    <row r="342" spans="1:16" x14ac:dyDescent="0.35">
      <c r="A342" s="3" t="s">
        <v>1214</v>
      </c>
      <c r="B342" s="3" t="s">
        <v>444</v>
      </c>
      <c r="C342" s="3" t="s">
        <v>719</v>
      </c>
      <c r="G342" s="4">
        <v>0.96000000000000185</v>
      </c>
      <c r="H342" s="17">
        <v>1.659318473655802E-3</v>
      </c>
      <c r="I342" s="17">
        <v>1.659318473655802E-3</v>
      </c>
      <c r="J342" s="3">
        <v>1.3274547789246416E-3</v>
      </c>
      <c r="K342" s="3">
        <v>1.9911821683869621E-3</v>
      </c>
      <c r="L342" s="3">
        <v>2</v>
      </c>
      <c r="N342" s="5">
        <v>341</v>
      </c>
      <c r="O342" s="18"/>
      <c r="P342" s="17"/>
    </row>
    <row r="343" spans="1:16" x14ac:dyDescent="0.35">
      <c r="A343" s="3" t="s">
        <v>1215</v>
      </c>
      <c r="B343" s="3" t="s">
        <v>720</v>
      </c>
      <c r="C343" s="3" t="s">
        <v>721</v>
      </c>
      <c r="G343" s="4">
        <v>0.2</v>
      </c>
      <c r="H343" s="17">
        <v>3.474681511468793E-3</v>
      </c>
      <c r="I343" s="17">
        <v>3.474681511468793E-3</v>
      </c>
      <c r="J343" s="3">
        <v>2.7797452091750346E-3</v>
      </c>
      <c r="K343" s="3">
        <v>4.1696178137625517E-3</v>
      </c>
      <c r="L343" s="3">
        <v>2</v>
      </c>
      <c r="N343" s="5">
        <v>342</v>
      </c>
      <c r="O343" s="18"/>
      <c r="P343" s="17"/>
    </row>
    <row r="344" spans="1:16" x14ac:dyDescent="0.35">
      <c r="A344" s="3" t="s">
        <v>1216</v>
      </c>
      <c r="B344" s="3" t="s">
        <v>722</v>
      </c>
      <c r="C344" s="3" t="s">
        <v>723</v>
      </c>
      <c r="G344" s="4">
        <v>14.74</v>
      </c>
      <c r="H344" s="17">
        <v>3.350029758257263E-3</v>
      </c>
      <c r="I344" s="17">
        <v>3.350029758257263E-3</v>
      </c>
      <c r="J344" s="3">
        <v>6.6730360501931736E-4</v>
      </c>
      <c r="K344" s="3">
        <v>1.000955407528976E-3</v>
      </c>
      <c r="L344" s="3">
        <v>2</v>
      </c>
      <c r="N344" s="5">
        <v>343</v>
      </c>
      <c r="O344" s="18"/>
      <c r="P344" s="17"/>
    </row>
    <row r="345" spans="1:16" x14ac:dyDescent="0.35">
      <c r="A345" s="3" t="s">
        <v>1217</v>
      </c>
      <c r="B345" s="3" t="s">
        <v>724</v>
      </c>
      <c r="C345" s="3" t="s">
        <v>722</v>
      </c>
      <c r="G345" s="4">
        <v>14.64</v>
      </c>
      <c r="H345" s="17">
        <v>3.7688462449544042E-3</v>
      </c>
      <c r="I345" s="17">
        <v>3.7688462449544042E-3</v>
      </c>
      <c r="J345" s="3">
        <v>1.8844231224772021E-3</v>
      </c>
      <c r="K345" s="3">
        <v>2.8217123259660572E-3</v>
      </c>
      <c r="L345" s="3">
        <v>2</v>
      </c>
      <c r="N345" s="5">
        <v>344</v>
      </c>
      <c r="O345" s="18"/>
      <c r="P345" s="17"/>
    </row>
    <row r="346" spans="1:16" x14ac:dyDescent="0.35">
      <c r="A346" s="3" t="s">
        <v>1218</v>
      </c>
      <c r="B346" s="3" t="s">
        <v>723</v>
      </c>
      <c r="C346" s="3" t="s">
        <v>725</v>
      </c>
      <c r="D346" s="3">
        <v>15.8</v>
      </c>
      <c r="E346" s="3">
        <v>15.8</v>
      </c>
      <c r="F346" s="3">
        <v>15.8</v>
      </c>
      <c r="G346" s="4">
        <v>15.8</v>
      </c>
      <c r="H346" s="17">
        <v>3.676001342919379E-3</v>
      </c>
      <c r="I346" s="17">
        <v>3.676001342919379E-3</v>
      </c>
      <c r="J346" s="3">
        <v>4.2015639236234912E-3</v>
      </c>
      <c r="K346" s="3">
        <v>6.3023458854352355E-3</v>
      </c>
      <c r="L346" s="3">
        <v>2</v>
      </c>
      <c r="N346" s="5">
        <v>345</v>
      </c>
      <c r="O346" s="18"/>
      <c r="P346" s="17"/>
    </row>
    <row r="347" spans="1:16" x14ac:dyDescent="0.35">
      <c r="A347" s="3" t="s">
        <v>1219</v>
      </c>
      <c r="B347" s="3" t="s">
        <v>725</v>
      </c>
      <c r="C347" s="3" t="s">
        <v>464</v>
      </c>
      <c r="G347" s="4">
        <v>12.19</v>
      </c>
      <c r="H347" s="17">
        <v>1.214765208863635E-3</v>
      </c>
      <c r="I347" s="17">
        <v>1.214765208863635E-3</v>
      </c>
      <c r="J347" s="3">
        <v>1.946417581387284E-4</v>
      </c>
      <c r="K347" s="3">
        <v>2.4295304177272699E-3</v>
      </c>
      <c r="L347" s="3">
        <v>2</v>
      </c>
      <c r="N347" s="5">
        <v>346</v>
      </c>
      <c r="O347" s="18"/>
      <c r="P347" s="17"/>
    </row>
    <row r="348" spans="1:16" x14ac:dyDescent="0.35">
      <c r="A348" s="3" t="s">
        <v>1220</v>
      </c>
      <c r="B348" s="3" t="s">
        <v>725</v>
      </c>
      <c r="C348" s="3" t="s">
        <v>726</v>
      </c>
      <c r="G348" s="4">
        <v>3.61</v>
      </c>
      <c r="H348" s="17">
        <v>3.6953179316362322E-3</v>
      </c>
      <c r="I348" s="17">
        <v>3.6953179316362322E-3</v>
      </c>
      <c r="J348" s="3">
        <v>6.5698868840281029E-4</v>
      </c>
      <c r="K348" s="3">
        <v>9.8548303260421544E-4</v>
      </c>
      <c r="L348" s="3">
        <v>2</v>
      </c>
      <c r="N348" s="5">
        <v>347</v>
      </c>
      <c r="O348" s="18"/>
      <c r="P348" s="17"/>
    </row>
    <row r="349" spans="1:16" x14ac:dyDescent="0.35">
      <c r="A349" s="3" t="s">
        <v>1221</v>
      </c>
      <c r="B349" s="3" t="s">
        <v>465</v>
      </c>
      <c r="C349" s="3" t="s">
        <v>727</v>
      </c>
      <c r="G349" s="4">
        <v>12.39</v>
      </c>
      <c r="H349" s="19">
        <v>5.843050723080368E-3</v>
      </c>
      <c r="I349" s="19">
        <v>5.843050723080368E-3</v>
      </c>
      <c r="J349" s="3">
        <v>1.1686101446160735E-3</v>
      </c>
      <c r="K349" s="3">
        <v>1.1686101446160736E-2</v>
      </c>
      <c r="L349" s="3">
        <v>2</v>
      </c>
      <c r="N349" s="5">
        <v>348</v>
      </c>
      <c r="O349" s="18"/>
      <c r="P349" s="17"/>
    </row>
    <row r="350" spans="1:16" x14ac:dyDescent="0.35">
      <c r="A350" s="3" t="s">
        <v>1222</v>
      </c>
      <c r="B350" s="3" t="s">
        <v>727</v>
      </c>
      <c r="C350" s="3" t="s">
        <v>728</v>
      </c>
      <c r="G350" s="4">
        <v>12.49</v>
      </c>
      <c r="H350" s="17">
        <v>7.3120053731119293E-4</v>
      </c>
      <c r="I350" s="17">
        <v>7.3120053731119293E-4</v>
      </c>
      <c r="J350" s="3">
        <v>2.0945885250872682E-4</v>
      </c>
      <c r="K350" s="3">
        <v>1.4624010746223859E-3</v>
      </c>
      <c r="L350" s="3">
        <v>2</v>
      </c>
      <c r="N350" s="5">
        <v>349</v>
      </c>
      <c r="O350" s="18"/>
      <c r="P350" s="17"/>
    </row>
    <row r="351" spans="1:16" x14ac:dyDescent="0.35">
      <c r="A351" s="3" t="s">
        <v>1223</v>
      </c>
      <c r="B351" s="3" t="s">
        <v>728</v>
      </c>
      <c r="C351" s="3" t="s">
        <v>729</v>
      </c>
      <c r="D351" s="3">
        <v>12.59</v>
      </c>
      <c r="E351" s="3">
        <v>12.59</v>
      </c>
      <c r="F351" s="3">
        <v>12.59</v>
      </c>
      <c r="G351" s="4">
        <v>12.59</v>
      </c>
      <c r="H351" s="17">
        <v>2.2687360484662869E-3</v>
      </c>
      <c r="I351" s="17">
        <v>2.2687360484662869E-3</v>
      </c>
      <c r="J351" s="3">
        <f>I351*0.8</f>
        <v>1.8149888387730296E-3</v>
      </c>
      <c r="K351" s="3">
        <f>I351*1.2</f>
        <v>2.722483258159544E-3</v>
      </c>
      <c r="L351" s="3">
        <v>2</v>
      </c>
      <c r="N351" s="5">
        <v>350</v>
      </c>
      <c r="O351" s="18"/>
      <c r="P351" s="17"/>
    </row>
    <row r="352" spans="1:16" x14ac:dyDescent="0.35">
      <c r="A352" s="3" t="s">
        <v>1224</v>
      </c>
      <c r="B352" s="3" t="s">
        <v>730</v>
      </c>
      <c r="C352" s="3" t="s">
        <v>731</v>
      </c>
      <c r="G352" s="4">
        <v>9.0900000000000016</v>
      </c>
      <c r="H352" s="17">
        <v>2.8770830815221548E-3</v>
      </c>
      <c r="I352" s="17">
        <v>2.8770830815221548E-3</v>
      </c>
      <c r="J352" s="3">
        <v>6.9649386460199489E-4</v>
      </c>
      <c r="K352" s="3">
        <v>1.0447407969029921E-3</v>
      </c>
      <c r="L352" s="3">
        <v>2</v>
      </c>
      <c r="N352" s="5">
        <v>351</v>
      </c>
      <c r="O352" s="18"/>
      <c r="P352" s="17"/>
    </row>
    <row r="353" spans="1:16" x14ac:dyDescent="0.35">
      <c r="A353" s="3" t="s">
        <v>1225</v>
      </c>
      <c r="B353" s="3" t="s">
        <v>732</v>
      </c>
      <c r="C353" s="3" t="s">
        <v>733</v>
      </c>
      <c r="G353" s="4">
        <v>5.5499999999999989</v>
      </c>
      <c r="H353" s="17">
        <v>9.7515311510127181E-4</v>
      </c>
      <c r="I353" s="17">
        <v>9.7515311510127181E-4</v>
      </c>
      <c r="J353" s="3">
        <v>8.89650735513272E-4</v>
      </c>
      <c r="K353" s="3">
        <v>1.3344761032699078E-3</v>
      </c>
      <c r="L353" s="3">
        <v>2</v>
      </c>
      <c r="N353" s="5">
        <v>352</v>
      </c>
      <c r="O353" s="18"/>
      <c r="P353" s="17"/>
    </row>
    <row r="354" spans="1:16" x14ac:dyDescent="0.35">
      <c r="A354" s="3" t="s">
        <v>1226</v>
      </c>
      <c r="B354" s="3" t="s">
        <v>734</v>
      </c>
      <c r="C354" s="3" t="s">
        <v>731</v>
      </c>
      <c r="G354" s="4">
        <v>2.0799999999999992</v>
      </c>
      <c r="H354" s="17">
        <v>2.0088120279472621E-3</v>
      </c>
      <c r="I354" s="17">
        <v>2.0088120279472621E-3</v>
      </c>
      <c r="J354" s="3">
        <v>1.6070496223578098E-3</v>
      </c>
      <c r="K354" s="3">
        <v>2.4105744335367143E-3</v>
      </c>
      <c r="L354" s="3">
        <v>2</v>
      </c>
      <c r="N354" s="5">
        <v>353</v>
      </c>
      <c r="O354" s="18"/>
      <c r="P354" s="17"/>
    </row>
    <row r="355" spans="1:16" x14ac:dyDescent="0.35">
      <c r="A355" s="3" t="s">
        <v>1227</v>
      </c>
      <c r="B355" s="3" t="s">
        <v>735</v>
      </c>
      <c r="C355" s="3" t="s">
        <v>736</v>
      </c>
      <c r="D355" s="3">
        <v>1.82</v>
      </c>
      <c r="E355" s="3">
        <v>1.82</v>
      </c>
      <c r="F355" s="3">
        <v>1.82</v>
      </c>
      <c r="G355" s="4">
        <v>1.82</v>
      </c>
      <c r="H355" s="17">
        <v>3.5455478317835101E-3</v>
      </c>
      <c r="I355" s="17">
        <v>3.5455478317835101E-3</v>
      </c>
      <c r="J355" s="3">
        <v>2.8364382654268083E-3</v>
      </c>
      <c r="K355" s="3">
        <v>4.254657398140212E-3</v>
      </c>
      <c r="L355" s="3">
        <v>2</v>
      </c>
      <c r="N355" s="5">
        <v>354</v>
      </c>
      <c r="O355" s="18"/>
      <c r="P355" s="17"/>
    </row>
    <row r="356" spans="1:16" x14ac:dyDescent="0.35">
      <c r="A356" s="3" t="s">
        <v>1228</v>
      </c>
      <c r="B356" s="3" t="s">
        <v>737</v>
      </c>
      <c r="C356" s="3" t="s">
        <v>735</v>
      </c>
      <c r="D356" s="3">
        <v>2.4</v>
      </c>
      <c r="E356" s="3">
        <v>2.4</v>
      </c>
      <c r="F356" s="3">
        <v>2.4</v>
      </c>
      <c r="G356" s="4">
        <v>2.4</v>
      </c>
      <c r="H356" s="17">
        <v>5.0394547380634936E-3</v>
      </c>
      <c r="I356" s="17">
        <v>5.0394547380634936E-3</v>
      </c>
      <c r="J356" s="3">
        <v>4.0315637904507953E-3</v>
      </c>
      <c r="K356" s="3">
        <v>6.047345685676192E-3</v>
      </c>
      <c r="L356" s="3">
        <v>2</v>
      </c>
      <c r="N356" s="5">
        <v>355</v>
      </c>
      <c r="O356" s="18"/>
      <c r="P356" s="17"/>
    </row>
    <row r="357" spans="1:16" x14ac:dyDescent="0.35">
      <c r="A357" s="3" t="s">
        <v>1229</v>
      </c>
      <c r="B357" s="3" t="s">
        <v>738</v>
      </c>
      <c r="C357" s="3" t="s">
        <v>737</v>
      </c>
      <c r="G357" s="4">
        <v>3.970000000000002</v>
      </c>
      <c r="H357" s="17">
        <v>4.5138065200493243E-3</v>
      </c>
      <c r="I357" s="17">
        <v>4.5138065200493243E-3</v>
      </c>
      <c r="J357" s="3">
        <v>3.839318325534392E-3</v>
      </c>
      <c r="K357" s="3">
        <v>5.7589774883015877E-3</v>
      </c>
      <c r="L357" s="3">
        <v>2</v>
      </c>
      <c r="N357" s="5">
        <v>356</v>
      </c>
      <c r="O357" s="18"/>
      <c r="P357" s="17"/>
    </row>
    <row r="358" spans="1:16" x14ac:dyDescent="0.35">
      <c r="A358" s="3" t="s">
        <v>1230</v>
      </c>
      <c r="B358" s="3" t="s">
        <v>738</v>
      </c>
      <c r="C358" s="3" t="s">
        <v>739</v>
      </c>
      <c r="G358" s="4">
        <v>0.1</v>
      </c>
      <c r="H358" s="17">
        <v>4.7323636941834701E-3</v>
      </c>
      <c r="I358" s="17">
        <v>4.7323636941834701E-3</v>
      </c>
      <c r="J358" s="3">
        <v>3.7858909553467762E-3</v>
      </c>
      <c r="K358" s="3">
        <v>5.6788364330201636E-3</v>
      </c>
      <c r="L358" s="3">
        <v>2</v>
      </c>
      <c r="N358" s="5">
        <v>357</v>
      </c>
      <c r="O358" s="18"/>
      <c r="P358" s="17"/>
    </row>
    <row r="359" spans="1:16" x14ac:dyDescent="0.35">
      <c r="A359" s="3" t="s">
        <v>1231</v>
      </c>
      <c r="B359" s="3" t="s">
        <v>739</v>
      </c>
      <c r="C359" s="3" t="s">
        <v>740</v>
      </c>
      <c r="G359" s="4">
        <v>1.96</v>
      </c>
      <c r="H359" s="17">
        <v>3.4501479293832129E-3</v>
      </c>
      <c r="I359" s="17">
        <v>3.4501479293832129E-3</v>
      </c>
      <c r="J359" s="3">
        <v>2.7601183435065706E-3</v>
      </c>
      <c r="K359" s="3">
        <v>4.1401775152598557E-3</v>
      </c>
      <c r="L359" s="3">
        <v>2</v>
      </c>
      <c r="N359" s="5">
        <v>358</v>
      </c>
      <c r="O359" s="18"/>
      <c r="P359" s="17"/>
    </row>
    <row r="360" spans="1:16" x14ac:dyDescent="0.35">
      <c r="A360" s="3" t="s">
        <v>1232</v>
      </c>
      <c r="B360" s="3" t="s">
        <v>740</v>
      </c>
      <c r="C360" s="3" t="s">
        <v>741</v>
      </c>
      <c r="G360" s="4">
        <v>2.4700000000000002</v>
      </c>
      <c r="H360" s="17">
        <v>3.7463185198134538E-3</v>
      </c>
      <c r="I360" s="17">
        <v>3.7463185198134538E-3</v>
      </c>
      <c r="J360" s="3">
        <v>4.1322017003304597E-3</v>
      </c>
      <c r="K360" s="3">
        <v>6.1983025504956891E-3</v>
      </c>
      <c r="L360" s="3">
        <v>2</v>
      </c>
      <c r="N360" s="5">
        <v>359</v>
      </c>
      <c r="O360" s="18"/>
      <c r="P360" s="17"/>
    </row>
    <row r="361" spans="1:16" x14ac:dyDescent="0.35">
      <c r="A361" s="3" t="s">
        <v>1233</v>
      </c>
      <c r="B361" s="3" t="s">
        <v>742</v>
      </c>
      <c r="C361" s="3" t="s">
        <v>743</v>
      </c>
      <c r="D361" s="3">
        <v>5.0599999999999996</v>
      </c>
      <c r="E361" s="3">
        <v>5.0599999999999996</v>
      </c>
      <c r="F361" s="3">
        <v>5.0599999999999996</v>
      </c>
      <c r="G361" s="4">
        <v>5.0599999999999996</v>
      </c>
      <c r="H361" s="19">
        <v>3.1509899693997851E-3</v>
      </c>
      <c r="I361" s="19">
        <v>3.1509899693997851E-3</v>
      </c>
      <c r="J361" s="3">
        <v>2.5207919755198282E-3</v>
      </c>
      <c r="K361" s="3">
        <v>3.7811879632797421E-3</v>
      </c>
      <c r="L361" s="3">
        <v>2</v>
      </c>
      <c r="N361" s="5">
        <v>360</v>
      </c>
      <c r="O361" s="18"/>
      <c r="P361" s="17"/>
    </row>
    <row r="362" spans="1:16" x14ac:dyDescent="0.35">
      <c r="A362" s="3" t="s">
        <v>1234</v>
      </c>
      <c r="B362" s="3" t="s">
        <v>743</v>
      </c>
      <c r="C362" s="3" t="s">
        <v>744</v>
      </c>
      <c r="G362" s="4">
        <v>5.1599999999999993</v>
      </c>
      <c r="H362" s="17">
        <v>2.84678568385998E-3</v>
      </c>
      <c r="I362" s="17">
        <v>2.84678568385998E-3</v>
      </c>
      <c r="J362" s="3">
        <v>2.8106045036737932E-3</v>
      </c>
      <c r="K362" s="3">
        <v>4.2159067555106889E-3</v>
      </c>
      <c r="L362" s="3">
        <v>2</v>
      </c>
      <c r="N362" s="5">
        <v>361</v>
      </c>
      <c r="O362" s="18"/>
      <c r="P362" s="17"/>
    </row>
    <row r="363" spans="1:16" x14ac:dyDescent="0.35">
      <c r="A363" s="3" t="s">
        <v>1235</v>
      </c>
      <c r="B363" s="3" t="s">
        <v>744</v>
      </c>
      <c r="C363" s="3" t="s">
        <v>745</v>
      </c>
      <c r="G363" s="4">
        <v>5.0599999999999996</v>
      </c>
      <c r="H363" s="17">
        <v>2.2320568433887161E-3</v>
      </c>
      <c r="I363" s="17">
        <v>2.2320568433887161E-3</v>
      </c>
      <c r="J363" s="3">
        <v>1.2077408882311337E-3</v>
      </c>
      <c r="K363" s="3">
        <v>1.8116113323467004E-3</v>
      </c>
      <c r="L363" s="3">
        <v>2</v>
      </c>
      <c r="N363" s="5">
        <v>362</v>
      </c>
      <c r="O363" s="18"/>
      <c r="P363" s="17"/>
    </row>
    <row r="364" spans="1:16" x14ac:dyDescent="0.35">
      <c r="A364" s="3" t="s">
        <v>1236</v>
      </c>
      <c r="B364" s="3" t="s">
        <v>745</v>
      </c>
      <c r="C364" s="3" t="s">
        <v>746</v>
      </c>
      <c r="D364" s="3">
        <v>12.85</v>
      </c>
      <c r="E364" s="3">
        <v>12.85</v>
      </c>
      <c r="F364" s="3">
        <v>12.85</v>
      </c>
      <c r="G364" s="4">
        <v>12.85</v>
      </c>
      <c r="H364" s="17">
        <v>3.3426946914825212E-3</v>
      </c>
      <c r="I364" s="17">
        <v>3.3426946914825212E-3</v>
      </c>
      <c r="J364" s="3">
        <f>I364*0.1</f>
        <v>3.3426946914825214E-4</v>
      </c>
      <c r="K364" s="3">
        <f>I364*10</f>
        <v>3.3426946914825215E-2</v>
      </c>
      <c r="L364" s="3">
        <v>2</v>
      </c>
      <c r="N364" s="5">
        <v>363</v>
      </c>
      <c r="O364" s="18"/>
      <c r="P364" s="17"/>
    </row>
    <row r="365" spans="1:16" x14ac:dyDescent="0.35">
      <c r="A365" s="3" t="s">
        <v>1237</v>
      </c>
      <c r="B365" s="3" t="s">
        <v>746</v>
      </c>
      <c r="C365" s="3" t="s">
        <v>747</v>
      </c>
      <c r="G365" s="4">
        <v>10.8</v>
      </c>
      <c r="H365" s="17">
        <v>3.045686002682632E-3</v>
      </c>
      <c r="I365" s="17">
        <v>3.045686002682632E-3</v>
      </c>
      <c r="J365" s="3">
        <v>1.5079949502382849E-3</v>
      </c>
      <c r="K365" s="3">
        <v>2.2619924253574272E-3</v>
      </c>
      <c r="L365" s="3">
        <v>2</v>
      </c>
      <c r="N365" s="5">
        <v>364</v>
      </c>
      <c r="O365" s="18"/>
      <c r="P365" s="17"/>
    </row>
    <row r="366" spans="1:16" x14ac:dyDescent="0.35">
      <c r="A366" s="3" t="s">
        <v>1238</v>
      </c>
      <c r="B366" s="3" t="s">
        <v>747</v>
      </c>
      <c r="C366" s="3" t="s">
        <v>748</v>
      </c>
      <c r="G366" s="4">
        <v>10.9</v>
      </c>
      <c r="H366" s="19">
        <v>3.41113199402975E-3</v>
      </c>
      <c r="I366" s="19">
        <v>3.41113199402975E-3</v>
      </c>
      <c r="J366" s="3">
        <v>5.1776692349015732E-3</v>
      </c>
      <c r="K366" s="3">
        <v>7.7665038523523581E-3</v>
      </c>
      <c r="L366" s="3">
        <v>2</v>
      </c>
      <c r="N366" s="5">
        <v>365</v>
      </c>
      <c r="O366" s="18"/>
      <c r="P366" s="17"/>
    </row>
    <row r="367" spans="1:16" x14ac:dyDescent="0.35">
      <c r="A367" s="3" t="s">
        <v>1239</v>
      </c>
      <c r="B367" s="3" t="s">
        <v>748</v>
      </c>
      <c r="C367" s="3" t="s">
        <v>749</v>
      </c>
      <c r="D367" s="3">
        <v>12.21</v>
      </c>
      <c r="E367" s="3">
        <v>12.21</v>
      </c>
      <c r="F367" s="3">
        <v>12.21</v>
      </c>
      <c r="G367" s="4">
        <v>12.21</v>
      </c>
      <c r="H367" s="17">
        <v>2.1414243050758091E-3</v>
      </c>
      <c r="I367" s="17">
        <v>2.1414243050758091E-3</v>
      </c>
      <c r="J367" s="3">
        <v>4.8993509247604698E-3</v>
      </c>
      <c r="K367" s="3">
        <v>7.349026387140703E-3</v>
      </c>
      <c r="L367" s="3">
        <v>2</v>
      </c>
      <c r="N367" s="5">
        <v>366</v>
      </c>
      <c r="O367" s="18"/>
      <c r="P367" s="17"/>
    </row>
    <row r="368" spans="1:16" x14ac:dyDescent="0.35">
      <c r="A368" s="3" t="s">
        <v>1240</v>
      </c>
      <c r="B368" s="3" t="s">
        <v>750</v>
      </c>
      <c r="C368" s="3" t="s">
        <v>751</v>
      </c>
      <c r="G368" s="4">
        <v>14.47</v>
      </c>
      <c r="H368" s="19">
        <v>1.88129726089778E-3</v>
      </c>
      <c r="I368" s="19">
        <v>1.88129726089778E-3</v>
      </c>
      <c r="J368" s="3">
        <v>2.9431319016209327E-3</v>
      </c>
      <c r="K368" s="3">
        <v>4.4146978524313985E-3</v>
      </c>
      <c r="L368" s="3">
        <v>2</v>
      </c>
      <c r="N368" s="5">
        <v>367</v>
      </c>
      <c r="O368" s="18"/>
      <c r="P368" s="17"/>
    </row>
    <row r="369" spans="1:16" x14ac:dyDescent="0.35">
      <c r="A369" s="3" t="s">
        <v>1241</v>
      </c>
      <c r="B369" s="3" t="s">
        <v>752</v>
      </c>
      <c r="C369" s="3" t="s">
        <v>750</v>
      </c>
      <c r="G369" s="4">
        <v>12.75</v>
      </c>
      <c r="H369" s="17">
        <v>2.2156083192365209E-3</v>
      </c>
      <c r="I369" s="17">
        <v>2.2156083192365209E-3</v>
      </c>
      <c r="J369" s="3">
        <v>1.0156271155392991E-3</v>
      </c>
      <c r="K369" s="3">
        <v>1.5234406733089488E-3</v>
      </c>
      <c r="L369" s="3">
        <v>2</v>
      </c>
      <c r="N369" s="5">
        <v>368</v>
      </c>
      <c r="O369" s="18"/>
      <c r="P369" s="17"/>
    </row>
    <row r="370" spans="1:16" x14ac:dyDescent="0.25">
      <c r="A370" s="3" t="s">
        <v>1242</v>
      </c>
      <c r="B370" s="3" t="s">
        <v>753</v>
      </c>
      <c r="C370" s="3" t="s">
        <v>752</v>
      </c>
      <c r="G370" s="4">
        <v>12.17</v>
      </c>
      <c r="H370" s="17">
        <v>8.8958156668344655E-4</v>
      </c>
      <c r="I370" s="17">
        <v>8.8958156668344655E-4</v>
      </c>
      <c r="J370" s="3">
        <v>7.1166525334675731E-4</v>
      </c>
      <c r="K370" s="3">
        <v>1.0674978800201359E-3</v>
      </c>
      <c r="L370" s="3">
        <v>2</v>
      </c>
      <c r="N370" s="5">
        <v>369</v>
      </c>
      <c r="P370" s="17"/>
    </row>
    <row r="371" spans="1:16" x14ac:dyDescent="0.35">
      <c r="A371" s="3" t="s">
        <v>1243</v>
      </c>
      <c r="B371" s="3" t="s">
        <v>754</v>
      </c>
      <c r="C371" s="3" t="s">
        <v>753</v>
      </c>
      <c r="D371" s="3">
        <v>10.6</v>
      </c>
      <c r="E371" s="3">
        <v>10.6</v>
      </c>
      <c r="F371" s="3">
        <v>10.6</v>
      </c>
      <c r="G371" s="4">
        <v>10.6</v>
      </c>
      <c r="H371" s="17">
        <v>4.46455142702735E-4</v>
      </c>
      <c r="I371" s="17">
        <v>4.46455142702735E-4</v>
      </c>
      <c r="J371" s="3">
        <v>2.4991817130437733E-4</v>
      </c>
      <c r="K371" s="3">
        <v>3.7487725695656591E-4</v>
      </c>
      <c r="L371" s="3">
        <v>2</v>
      </c>
      <c r="N371" s="5">
        <v>370</v>
      </c>
      <c r="O371" s="18"/>
      <c r="P371" s="17"/>
    </row>
    <row r="372" spans="1:16" x14ac:dyDescent="0.35">
      <c r="A372" s="3" t="s">
        <v>1244</v>
      </c>
      <c r="B372" s="3" t="s">
        <v>755</v>
      </c>
      <c r="C372" s="3" t="s">
        <v>754</v>
      </c>
      <c r="G372" s="4">
        <v>0.63999999999999857</v>
      </c>
      <c r="H372" s="17">
        <v>2.0404973837564501E-4</v>
      </c>
      <c r="I372" s="17">
        <v>2.0404973837564501E-4</v>
      </c>
      <c r="J372" s="3">
        <v>9.2327805136501847E-5</v>
      </c>
      <c r="K372" s="3">
        <v>1.3849170770475276E-4</v>
      </c>
      <c r="L372" s="3">
        <v>2</v>
      </c>
      <c r="N372" s="5">
        <v>371</v>
      </c>
      <c r="O372" s="18"/>
      <c r="P372" s="17"/>
    </row>
    <row r="373" spans="1:16" x14ac:dyDescent="0.35">
      <c r="A373" s="3" t="s">
        <v>1245</v>
      </c>
      <c r="B373" s="3" t="s">
        <v>756</v>
      </c>
      <c r="C373" s="3" t="s">
        <v>755</v>
      </c>
      <c r="D373" s="3">
        <v>4.71</v>
      </c>
      <c r="E373" s="3">
        <v>4.71</v>
      </c>
      <c r="F373" s="3">
        <v>4.71</v>
      </c>
      <c r="G373" s="4">
        <v>4.71</v>
      </c>
      <c r="H373" s="17">
        <v>1.197571449417071E-4</v>
      </c>
      <c r="I373" s="17">
        <v>1.197571449417071E-4</v>
      </c>
      <c r="J373" s="3">
        <v>4.7923032695824436E-5</v>
      </c>
      <c r="K373" s="3">
        <v>7.1884549043736641E-5</v>
      </c>
      <c r="L373" s="3">
        <v>2</v>
      </c>
      <c r="N373" s="5">
        <v>372</v>
      </c>
      <c r="O373" s="18"/>
      <c r="P373" s="17"/>
    </row>
    <row r="374" spans="1:16" x14ac:dyDescent="0.35">
      <c r="A374" s="3" t="s">
        <v>1246</v>
      </c>
      <c r="B374" s="3" t="s">
        <v>757</v>
      </c>
      <c r="C374" s="3" t="s">
        <v>756</v>
      </c>
      <c r="G374" s="4">
        <v>4.5099999999999962</v>
      </c>
      <c r="H374" s="19">
        <v>7.0473884639804724E-4</v>
      </c>
      <c r="I374" s="19">
        <v>7.0473884639804724E-4</v>
      </c>
      <c r="J374" s="3">
        <v>2.8221915031823665E-4</v>
      </c>
      <c r="K374" s="3">
        <v>4.2332872547735494E-4</v>
      </c>
      <c r="L374" s="3">
        <v>2</v>
      </c>
      <c r="N374" s="5">
        <v>373</v>
      </c>
      <c r="O374" s="18"/>
      <c r="P374" s="17"/>
    </row>
    <row r="375" spans="1:16" x14ac:dyDescent="0.35">
      <c r="A375" s="3" t="s">
        <v>1247</v>
      </c>
      <c r="B375" s="3" t="s">
        <v>758</v>
      </c>
      <c r="C375" s="3" t="s">
        <v>757</v>
      </c>
      <c r="G375" s="4">
        <v>6.3699999999999957</v>
      </c>
      <c r="H375" s="17">
        <v>2.0527742184948581E-4</v>
      </c>
      <c r="I375" s="17">
        <v>2.0527742184948581E-4</v>
      </c>
      <c r="J375" s="3">
        <v>3.1836281838064053E-4</v>
      </c>
      <c r="K375" s="3">
        <v>4.7754422757096071E-4</v>
      </c>
      <c r="L375" s="3">
        <v>2</v>
      </c>
      <c r="N375" s="5">
        <v>374</v>
      </c>
      <c r="O375" s="18"/>
      <c r="P375" s="17"/>
    </row>
    <row r="376" spans="1:16" x14ac:dyDescent="0.35">
      <c r="A376" s="3" t="s">
        <v>1248</v>
      </c>
      <c r="B376" s="3" t="s">
        <v>758</v>
      </c>
      <c r="C376" s="3" t="s">
        <v>759</v>
      </c>
      <c r="D376" s="3">
        <v>3.7</v>
      </c>
      <c r="E376" s="3">
        <v>3.7</v>
      </c>
      <c r="F376" s="3">
        <v>3.7</v>
      </c>
      <c r="G376" s="4">
        <v>3.7</v>
      </c>
      <c r="H376" s="17">
        <v>4.2609910086863478E-4</v>
      </c>
      <c r="I376" s="17">
        <v>4.2609910086863478E-4</v>
      </c>
      <c r="J376" s="3">
        <f>I376*0.1</f>
        <v>4.260991008686348E-5</v>
      </c>
      <c r="K376" s="3">
        <f>I376*10</f>
        <v>4.2609910086863481E-3</v>
      </c>
      <c r="L376" s="3">
        <v>2</v>
      </c>
      <c r="N376" s="5">
        <v>375</v>
      </c>
      <c r="O376" s="18"/>
      <c r="P376" s="17"/>
    </row>
    <row r="377" spans="1:16" x14ac:dyDescent="0.35">
      <c r="A377" s="3" t="s">
        <v>1249</v>
      </c>
      <c r="B377" s="3" t="s">
        <v>759</v>
      </c>
      <c r="C377" s="3" t="s">
        <v>760</v>
      </c>
      <c r="G377" s="4">
        <v>3.19</v>
      </c>
      <c r="H377" s="17">
        <v>2.161545357100709E-4</v>
      </c>
      <c r="I377" s="17">
        <v>2.161545357100709E-4</v>
      </c>
      <c r="J377" s="3">
        <v>3.3200866893183019E-4</v>
      </c>
      <c r="K377" s="3">
        <v>4.9801300339774525E-4</v>
      </c>
      <c r="L377" s="3">
        <v>2</v>
      </c>
      <c r="N377" s="5">
        <v>376</v>
      </c>
      <c r="O377" s="18"/>
      <c r="P377" s="17"/>
    </row>
    <row r="378" spans="1:16" x14ac:dyDescent="0.35">
      <c r="A378" s="3" t="s">
        <v>1250</v>
      </c>
      <c r="B378" s="3" t="s">
        <v>760</v>
      </c>
      <c r="C378" s="3" t="s">
        <v>761</v>
      </c>
      <c r="D378" s="3">
        <v>3.09</v>
      </c>
      <c r="E378" s="3">
        <v>3.09</v>
      </c>
      <c r="F378" s="3">
        <v>3.09</v>
      </c>
      <c r="G378" s="4">
        <v>3.09</v>
      </c>
      <c r="H378" s="17">
        <v>6.5414722314921828E-4</v>
      </c>
      <c r="I378" s="17">
        <v>6.5414722314921828E-4</v>
      </c>
      <c r="J378" s="3">
        <v>1.7778692363888959E-3</v>
      </c>
      <c r="K378" s="3">
        <v>2.6668038545833439E-3</v>
      </c>
      <c r="L378" s="3">
        <v>2</v>
      </c>
      <c r="N378" s="5">
        <v>377</v>
      </c>
      <c r="O378" s="18"/>
      <c r="P378" s="17"/>
    </row>
    <row r="379" spans="1:16" x14ac:dyDescent="0.35">
      <c r="A379" s="3" t="s">
        <v>1251</v>
      </c>
      <c r="B379" s="3" t="s">
        <v>761</v>
      </c>
      <c r="C379" s="3" t="s">
        <v>762</v>
      </c>
      <c r="G379" s="4">
        <v>0.2</v>
      </c>
      <c r="H379" s="17">
        <v>2.4473604341514882E-4</v>
      </c>
      <c r="I379" s="17">
        <v>2.4473604341514882E-4</v>
      </c>
      <c r="J379" s="3">
        <v>1.0273554102977904E-4</v>
      </c>
      <c r="K379" s="3">
        <v>1.5410331154466853E-4</v>
      </c>
      <c r="L379" s="3">
        <v>2</v>
      </c>
      <c r="N379" s="5">
        <v>378</v>
      </c>
      <c r="O379" s="18"/>
      <c r="P379" s="17"/>
    </row>
    <row r="380" spans="1:16" x14ac:dyDescent="0.35">
      <c r="A380" s="3" t="s">
        <v>1252</v>
      </c>
      <c r="B380" s="3" t="s">
        <v>762</v>
      </c>
      <c r="C380" s="3" t="s">
        <v>763</v>
      </c>
      <c r="G380" s="4">
        <v>0.1</v>
      </c>
      <c r="H380" s="17">
        <v>5.6041890420589519E-4</v>
      </c>
      <c r="I380" s="17">
        <v>5.6041890420589519E-4</v>
      </c>
      <c r="J380" s="3">
        <v>4.4833512336471618E-4</v>
      </c>
      <c r="K380" s="3">
        <v>6.7250268504707425E-4</v>
      </c>
      <c r="L380" s="3">
        <v>2</v>
      </c>
      <c r="N380" s="5">
        <v>379</v>
      </c>
      <c r="O380" s="18"/>
      <c r="P380" s="17"/>
    </row>
    <row r="381" spans="1:16" x14ac:dyDescent="0.35">
      <c r="A381" s="3" t="s">
        <v>1253</v>
      </c>
      <c r="B381" s="3" t="s">
        <v>763</v>
      </c>
      <c r="C381" s="3" t="s">
        <v>764</v>
      </c>
      <c r="G381" s="4">
        <v>0.4</v>
      </c>
      <c r="H381" s="17">
        <v>1.3814634432789859E-4</v>
      </c>
      <c r="I381" s="17">
        <v>1.3814634432789859E-4</v>
      </c>
      <c r="J381" s="3">
        <v>1.1051707546231887E-4</v>
      </c>
      <c r="K381" s="3">
        <v>1.6577561319347831E-4</v>
      </c>
      <c r="L381" s="3">
        <v>2</v>
      </c>
      <c r="N381" s="5">
        <v>380</v>
      </c>
      <c r="O381" s="18"/>
      <c r="P381" s="17"/>
    </row>
    <row r="382" spans="1:16" x14ac:dyDescent="0.35">
      <c r="A382" s="3" t="s">
        <v>1254</v>
      </c>
      <c r="B382" s="3" t="s">
        <v>764</v>
      </c>
      <c r="C382" s="3" t="s">
        <v>765</v>
      </c>
      <c r="G382" s="4">
        <v>0.3</v>
      </c>
      <c r="H382" s="17">
        <v>6.7213750861598045E-4</v>
      </c>
      <c r="I382" s="17">
        <v>6.7213750861598045E-4</v>
      </c>
      <c r="J382" s="3">
        <v>1.0542559823516265E-3</v>
      </c>
      <c r="K382" s="3">
        <v>1.5813839735274394E-3</v>
      </c>
      <c r="L382" s="3">
        <v>2</v>
      </c>
      <c r="N382" s="5">
        <v>381</v>
      </c>
      <c r="O382" s="18"/>
      <c r="P382" s="17"/>
    </row>
    <row r="383" spans="1:16" x14ac:dyDescent="0.35">
      <c r="A383" s="3" t="s">
        <v>1255</v>
      </c>
      <c r="B383" s="3" t="s">
        <v>765</v>
      </c>
      <c r="C383" s="3" t="s">
        <v>766</v>
      </c>
      <c r="G383" s="4">
        <v>0.2</v>
      </c>
      <c r="H383" s="17">
        <v>2.0986303283004979E-4</v>
      </c>
      <c r="I383" s="17">
        <v>2.0986303283004979E-4</v>
      </c>
      <c r="J383" s="3">
        <v>1.6789042626403985E-4</v>
      </c>
      <c r="K383" s="3">
        <v>2.5183563939605976E-4</v>
      </c>
      <c r="L383" s="3">
        <v>2</v>
      </c>
      <c r="N383" s="5">
        <v>382</v>
      </c>
      <c r="O383" s="18"/>
      <c r="P383" s="17"/>
    </row>
    <row r="384" spans="1:16" s="23" customFormat="1" x14ac:dyDescent="0.35">
      <c r="A384" s="3" t="s">
        <v>1256</v>
      </c>
      <c r="B384" s="3" t="s">
        <v>766</v>
      </c>
      <c r="C384" s="3" t="s">
        <v>767</v>
      </c>
      <c r="D384" s="3"/>
      <c r="E384" s="3"/>
      <c r="F384" s="3"/>
      <c r="G384" s="4">
        <v>0.1</v>
      </c>
      <c r="H384" s="17">
        <v>5.2868515214602992E-4</v>
      </c>
      <c r="I384" s="17">
        <v>5.2868515214602992E-4</v>
      </c>
      <c r="J384" s="3">
        <v>2.6434257607301496E-4</v>
      </c>
      <c r="K384" s="3">
        <v>1.0573703042920598E-3</v>
      </c>
      <c r="L384" s="3">
        <v>2</v>
      </c>
      <c r="M384" s="3"/>
      <c r="N384" s="5">
        <v>383</v>
      </c>
      <c r="O384" s="18"/>
      <c r="P384" s="17"/>
    </row>
    <row r="385" spans="1:16" x14ac:dyDescent="0.35">
      <c r="A385" s="3" t="s">
        <v>1257</v>
      </c>
      <c r="B385" s="3" t="s">
        <v>768</v>
      </c>
      <c r="C385" s="3" t="s">
        <v>769</v>
      </c>
      <c r="D385" s="3">
        <v>14.05</v>
      </c>
      <c r="E385" s="3">
        <v>14.05</v>
      </c>
      <c r="F385" s="3">
        <v>14.05</v>
      </c>
      <c r="G385" s="4">
        <v>14.05</v>
      </c>
      <c r="H385" s="17">
        <v>1.048791609568694E-3</v>
      </c>
      <c r="I385" s="17">
        <v>1.048791609568694E-3</v>
      </c>
      <c r="J385" s="3">
        <v>1.4544267031593137E-3</v>
      </c>
      <c r="K385" s="3">
        <v>2.1816400547389702E-3</v>
      </c>
      <c r="L385" s="3">
        <v>2</v>
      </c>
      <c r="N385" s="5">
        <v>384</v>
      </c>
      <c r="O385" s="18"/>
      <c r="P385" s="17"/>
    </row>
    <row r="386" spans="1:16" x14ac:dyDescent="0.35">
      <c r="A386" s="3" t="s">
        <v>1258</v>
      </c>
      <c r="B386" s="3" t="s">
        <v>769</v>
      </c>
      <c r="C386" s="3" t="s">
        <v>770</v>
      </c>
      <c r="D386" s="3">
        <v>16.100000000000001</v>
      </c>
      <c r="E386" s="3">
        <v>16.100000000000001</v>
      </c>
      <c r="F386" s="3">
        <v>16.100000000000001</v>
      </c>
      <c r="G386" s="4">
        <v>16.100000000000001</v>
      </c>
      <c r="H386" s="19">
        <v>1.5185193826579169E-4</v>
      </c>
      <c r="I386" s="19">
        <v>1.5185193826579169E-4</v>
      </c>
      <c r="J386" s="3">
        <f>I386*0.1</f>
        <v>1.5185193826579169E-5</v>
      </c>
      <c r="K386" s="3">
        <f>I386*10</f>
        <v>1.5185193826579169E-3</v>
      </c>
      <c r="L386" s="3">
        <v>2</v>
      </c>
      <c r="N386" s="5">
        <v>385</v>
      </c>
      <c r="O386" s="18"/>
      <c r="P386" s="17"/>
    </row>
    <row r="387" spans="1:16" x14ac:dyDescent="0.35">
      <c r="A387" s="3" t="s">
        <v>1259</v>
      </c>
      <c r="B387" s="3" t="s">
        <v>770</v>
      </c>
      <c r="C387" s="3" t="s">
        <v>771</v>
      </c>
      <c r="G387" s="4">
        <v>14.53</v>
      </c>
      <c r="H387" s="17">
        <v>1.046712822998957E-3</v>
      </c>
      <c r="I387" s="17">
        <v>1.046712822998957E-3</v>
      </c>
      <c r="J387" s="3">
        <v>8.1348387762583446E-4</v>
      </c>
      <c r="K387" s="3">
        <v>1.2202258164387516E-3</v>
      </c>
      <c r="L387" s="3">
        <v>2</v>
      </c>
      <c r="N387" s="5">
        <v>386</v>
      </c>
      <c r="O387" s="18"/>
      <c r="P387" s="17"/>
    </row>
    <row r="388" spans="1:16" s="23" customFormat="1" x14ac:dyDescent="0.35">
      <c r="A388" s="3" t="s">
        <v>1260</v>
      </c>
      <c r="B388" s="3" t="s">
        <v>771</v>
      </c>
      <c r="C388" s="3" t="s">
        <v>772</v>
      </c>
      <c r="D388" s="3">
        <v>14.43</v>
      </c>
      <c r="E388" s="3">
        <v>14.43</v>
      </c>
      <c r="F388" s="3">
        <v>14.43</v>
      </c>
      <c r="G388" s="4">
        <v>14.43</v>
      </c>
      <c r="H388" s="17">
        <v>1.3654906316111601E-4</v>
      </c>
      <c r="I388" s="17">
        <v>1.3654906316111601E-4</v>
      </c>
      <c r="J388" s="3">
        <f>I388*0.1</f>
        <v>1.3654906316111602E-5</v>
      </c>
      <c r="K388" s="3">
        <f>I388*10</f>
        <v>1.3654906316111601E-3</v>
      </c>
      <c r="L388" s="3">
        <v>2</v>
      </c>
      <c r="M388" s="3"/>
      <c r="N388" s="5">
        <v>387</v>
      </c>
      <c r="O388" s="18"/>
      <c r="P388" s="17"/>
    </row>
    <row r="389" spans="1:16" x14ac:dyDescent="0.35">
      <c r="A389" s="3" t="s">
        <v>1261</v>
      </c>
      <c r="B389" s="3" t="s">
        <v>772</v>
      </c>
      <c r="C389" s="3" t="s">
        <v>773</v>
      </c>
      <c r="D389" s="3">
        <v>11.78</v>
      </c>
      <c r="E389" s="3">
        <v>11.78</v>
      </c>
      <c r="F389" s="3">
        <v>11.78</v>
      </c>
      <c r="G389" s="4">
        <v>11.78</v>
      </c>
      <c r="H389" s="17">
        <v>8.8407392913316524E-4</v>
      </c>
      <c r="I389" s="17">
        <v>8.8407392913316524E-4</v>
      </c>
      <c r="J389" s="3">
        <v>2.6961549371206754E-3</v>
      </c>
      <c r="K389" s="3">
        <v>4.0442324056810123E-3</v>
      </c>
      <c r="L389" s="3">
        <v>2</v>
      </c>
      <c r="N389" s="5">
        <v>388</v>
      </c>
      <c r="O389" s="18"/>
      <c r="P389" s="17"/>
    </row>
    <row r="390" spans="1:16" x14ac:dyDescent="0.35">
      <c r="A390" s="3" t="s">
        <v>1262</v>
      </c>
      <c r="B390" s="3" t="s">
        <v>773</v>
      </c>
      <c r="C390" s="3" t="s">
        <v>774</v>
      </c>
      <c r="G390" s="4">
        <v>10.47</v>
      </c>
      <c r="H390" s="17">
        <v>1.6590735964569709E-4</v>
      </c>
      <c r="I390" s="17">
        <v>1.6590735964569709E-4</v>
      </c>
      <c r="J390" s="3">
        <f>I390*0.1</f>
        <v>1.6590735964569708E-5</v>
      </c>
      <c r="K390" s="3">
        <f>I390*10</f>
        <v>1.6590735964569709E-3</v>
      </c>
      <c r="L390" s="3">
        <v>2</v>
      </c>
      <c r="N390" s="5">
        <v>389</v>
      </c>
      <c r="O390" s="18"/>
      <c r="P390" s="17"/>
    </row>
    <row r="391" spans="1:16" x14ac:dyDescent="0.35">
      <c r="A391" s="3" t="s">
        <v>1263</v>
      </c>
      <c r="B391" s="3" t="s">
        <v>774</v>
      </c>
      <c r="C391" s="3" t="s">
        <v>775</v>
      </c>
      <c r="D391" s="3">
        <v>8.9600000000000009</v>
      </c>
      <c r="E391" s="3">
        <v>8.9600000000000009</v>
      </c>
      <c r="F391" s="3">
        <v>8.9600000000000009</v>
      </c>
      <c r="G391" s="4">
        <v>8.9600000000000009</v>
      </c>
      <c r="H391" s="17">
        <v>9.6031694492488119E-4</v>
      </c>
      <c r="I391" s="17">
        <v>9.6031694492488119E-4</v>
      </c>
      <c r="J391" s="3">
        <v>4.801584724624406E-4</v>
      </c>
      <c r="K391" s="3">
        <v>9.5766602529551628E-3</v>
      </c>
      <c r="L391" s="3">
        <v>2</v>
      </c>
      <c r="N391" s="5">
        <v>390</v>
      </c>
      <c r="O391" s="18"/>
      <c r="P391" s="17"/>
    </row>
    <row r="392" spans="1:16" x14ac:dyDescent="0.35">
      <c r="A392" s="3" t="s">
        <v>1264</v>
      </c>
      <c r="B392" s="3" t="s">
        <v>775</v>
      </c>
      <c r="C392" s="3" t="s">
        <v>776</v>
      </c>
      <c r="G392" s="4">
        <v>1.905000000000002</v>
      </c>
      <c r="H392" s="17">
        <v>1.5540420991605941E-4</v>
      </c>
      <c r="I392" s="17">
        <v>1.5540420991605941E-4</v>
      </c>
      <c r="J392" s="3">
        <v>1.2432336793284754E-4</v>
      </c>
      <c r="K392" s="3">
        <v>1.8648505189927127E-4</v>
      </c>
      <c r="L392" s="3">
        <v>2</v>
      </c>
      <c r="N392" s="5">
        <v>391</v>
      </c>
      <c r="O392" s="18"/>
      <c r="P392" s="17"/>
    </row>
    <row r="393" spans="1:16" x14ac:dyDescent="0.35">
      <c r="A393" s="3" t="s">
        <v>1265</v>
      </c>
      <c r="B393" s="3" t="s">
        <v>776</v>
      </c>
      <c r="C393" s="3" t="s">
        <v>777</v>
      </c>
      <c r="G393" s="4">
        <v>1.8050000000000019</v>
      </c>
      <c r="H393" s="17">
        <v>9.0855020520042603E-4</v>
      </c>
      <c r="I393" s="17">
        <v>9.0855020520042603E-4</v>
      </c>
      <c r="J393" s="3">
        <v>7.2684016416034089E-4</v>
      </c>
      <c r="K393" s="3">
        <v>1.0902602462405113E-3</v>
      </c>
      <c r="L393" s="3">
        <v>2</v>
      </c>
      <c r="N393" s="5">
        <v>392</v>
      </c>
      <c r="O393" s="18"/>
      <c r="P393" s="17"/>
    </row>
    <row r="394" spans="1:16" x14ac:dyDescent="0.35">
      <c r="A394" s="3" t="s">
        <v>1266</v>
      </c>
      <c r="B394" s="3" t="s">
        <v>778</v>
      </c>
      <c r="C394" s="3" t="s">
        <v>779</v>
      </c>
      <c r="G394" s="4">
        <v>0.2</v>
      </c>
      <c r="H394" s="17">
        <v>3.35547110030127E-4</v>
      </c>
      <c r="I394" s="17">
        <v>3.35547110030127E-4</v>
      </c>
      <c r="J394" s="3">
        <v>2.6843768802410162E-4</v>
      </c>
      <c r="K394" s="3">
        <v>4.0265653203615237E-4</v>
      </c>
      <c r="L394" s="3">
        <v>2</v>
      </c>
      <c r="N394" s="5">
        <v>393</v>
      </c>
      <c r="O394" s="18"/>
      <c r="P394" s="17"/>
    </row>
    <row r="395" spans="1:16" x14ac:dyDescent="0.35">
      <c r="A395" s="3" t="s">
        <v>1267</v>
      </c>
      <c r="B395" s="3" t="s">
        <v>780</v>
      </c>
      <c r="C395" s="3" t="s">
        <v>781</v>
      </c>
      <c r="G395" s="4">
        <v>0.2</v>
      </c>
      <c r="H395" s="19">
        <v>1.679648700707474E-3</v>
      </c>
      <c r="I395" s="19">
        <v>1.679648700707474E-3</v>
      </c>
      <c r="J395" s="3">
        <v>1.3437189605659792E-3</v>
      </c>
      <c r="K395" s="3">
        <v>2.0155784408489685E-3</v>
      </c>
      <c r="L395" s="3">
        <v>2</v>
      </c>
      <c r="N395" s="5">
        <v>394</v>
      </c>
      <c r="O395" s="18"/>
      <c r="P395" s="17"/>
    </row>
    <row r="396" spans="1:16" x14ac:dyDescent="0.35">
      <c r="A396" s="3" t="s">
        <v>1268</v>
      </c>
      <c r="B396" s="3" t="s">
        <v>781</v>
      </c>
      <c r="C396" s="3" t="s">
        <v>782</v>
      </c>
      <c r="G396" s="4">
        <v>0.3</v>
      </c>
      <c r="H396" s="17">
        <v>9.9209600796740477E-4</v>
      </c>
      <c r="I396" s="17">
        <v>9.9209600796740477E-4</v>
      </c>
      <c r="J396" s="3">
        <v>9.3744502618300885E-4</v>
      </c>
      <c r="K396" s="3">
        <v>1.4061675392745131E-3</v>
      </c>
      <c r="L396" s="3">
        <v>2</v>
      </c>
      <c r="N396" s="5">
        <v>395</v>
      </c>
      <c r="O396" s="18"/>
      <c r="P396" s="17"/>
    </row>
    <row r="397" spans="1:16" x14ac:dyDescent="0.35">
      <c r="A397" s="3" t="s">
        <v>1269</v>
      </c>
      <c r="B397" s="3" t="s">
        <v>783</v>
      </c>
      <c r="C397" s="3" t="s">
        <v>778</v>
      </c>
      <c r="G397" s="4">
        <v>0.3</v>
      </c>
      <c r="H397" s="17">
        <v>4.1095388278147231E-4</v>
      </c>
      <c r="I397" s="17">
        <v>4.1095388278147231E-4</v>
      </c>
      <c r="J397" s="3">
        <v>3.2876310622517789E-4</v>
      </c>
      <c r="K397" s="3">
        <v>4.9314465933776672E-4</v>
      </c>
      <c r="L397" s="3">
        <v>2</v>
      </c>
      <c r="N397" s="5">
        <v>396</v>
      </c>
      <c r="O397" s="18"/>
      <c r="P397" s="17"/>
    </row>
    <row r="398" spans="1:16" x14ac:dyDescent="0.35">
      <c r="A398" s="3" t="s">
        <v>1270</v>
      </c>
      <c r="B398" s="3" t="s">
        <v>784</v>
      </c>
      <c r="C398" s="3" t="s">
        <v>785</v>
      </c>
      <c r="G398" s="4">
        <v>0.1</v>
      </c>
      <c r="H398" s="17">
        <v>3.2311338858562158E-3</v>
      </c>
      <c r="I398" s="17">
        <v>3.2311338858562158E-3</v>
      </c>
      <c r="J398" s="3">
        <v>2.5849071086849729E-3</v>
      </c>
      <c r="K398" s="3">
        <v>3.8773606630274587E-3</v>
      </c>
      <c r="L398" s="3">
        <v>2</v>
      </c>
      <c r="N398" s="5">
        <v>397</v>
      </c>
      <c r="O398" s="18"/>
      <c r="P398" s="17"/>
    </row>
    <row r="399" spans="1:16" x14ac:dyDescent="0.35">
      <c r="A399" s="3" t="s">
        <v>1271</v>
      </c>
      <c r="B399" s="3" t="s">
        <v>786</v>
      </c>
      <c r="C399" s="3" t="s">
        <v>783</v>
      </c>
      <c r="G399" s="4">
        <v>0.4</v>
      </c>
      <c r="H399" s="17">
        <v>8.5557139673121414E-4</v>
      </c>
      <c r="I399" s="17">
        <v>8.5557139673121414E-4</v>
      </c>
      <c r="J399" s="3">
        <v>6.844571173849714E-4</v>
      </c>
      <c r="K399" s="3">
        <v>1.0266856760774569E-3</v>
      </c>
      <c r="L399" s="3">
        <v>2</v>
      </c>
      <c r="N399" s="5">
        <v>398</v>
      </c>
      <c r="O399" s="18"/>
      <c r="P399" s="17"/>
    </row>
    <row r="400" spans="1:16" x14ac:dyDescent="0.35">
      <c r="A400" s="3" t="s">
        <v>1272</v>
      </c>
      <c r="B400" s="3" t="s">
        <v>786</v>
      </c>
      <c r="C400" s="3" t="s">
        <v>784</v>
      </c>
      <c r="G400" s="4">
        <v>0.2</v>
      </c>
      <c r="H400" s="17">
        <v>2.4024105713949602E-3</v>
      </c>
      <c r="I400" s="17">
        <v>2.4024105713949602E-3</v>
      </c>
      <c r="J400" s="3">
        <v>1.9219284571159682E-3</v>
      </c>
      <c r="K400" s="3">
        <v>2.8828926856739523E-3</v>
      </c>
      <c r="L400" s="3">
        <v>2</v>
      </c>
      <c r="N400" s="5">
        <v>399</v>
      </c>
      <c r="O400" s="18"/>
      <c r="P400" s="17"/>
    </row>
    <row r="401" spans="1:16" x14ac:dyDescent="0.35">
      <c r="A401" s="3" t="s">
        <v>1273</v>
      </c>
      <c r="B401" s="3" t="s">
        <v>787</v>
      </c>
      <c r="C401" s="3" t="s">
        <v>786</v>
      </c>
      <c r="G401" s="4">
        <v>0.6</v>
      </c>
      <c r="H401" s="17">
        <v>7.8675523011840619E-4</v>
      </c>
      <c r="I401" s="17">
        <v>7.8675523011840619E-4</v>
      </c>
      <c r="J401" s="3">
        <v>6.29404184094725E-4</v>
      </c>
      <c r="K401" s="3">
        <v>9.4410627614208739E-4</v>
      </c>
      <c r="L401" s="3">
        <v>2</v>
      </c>
      <c r="N401" s="5">
        <v>400</v>
      </c>
      <c r="O401" s="18"/>
      <c r="P401" s="17"/>
    </row>
    <row r="402" spans="1:16" x14ac:dyDescent="0.35">
      <c r="A402" s="3" t="s">
        <v>1274</v>
      </c>
      <c r="B402" s="3" t="s">
        <v>788</v>
      </c>
      <c r="C402" s="3" t="s">
        <v>787</v>
      </c>
      <c r="G402" s="4">
        <v>0.7</v>
      </c>
      <c r="H402" s="17">
        <v>2.9248140873522419E-4</v>
      </c>
      <c r="I402" s="17">
        <v>2.9248140873522419E-4</v>
      </c>
      <c r="J402" s="3">
        <v>2.3398512698817936E-4</v>
      </c>
      <c r="K402" s="3">
        <v>3.50977690482269E-4</v>
      </c>
      <c r="L402" s="3">
        <v>2</v>
      </c>
      <c r="N402" s="5">
        <v>401</v>
      </c>
      <c r="O402" s="18"/>
      <c r="P402" s="17"/>
    </row>
    <row r="403" spans="1:16" x14ac:dyDescent="0.35">
      <c r="A403" s="3" t="s">
        <v>1275</v>
      </c>
      <c r="B403" s="3" t="s">
        <v>789</v>
      </c>
      <c r="C403" s="3" t="s">
        <v>788</v>
      </c>
      <c r="G403" s="4">
        <v>4.4700000000000042</v>
      </c>
      <c r="H403" s="17">
        <v>4.6046227837661231E-4</v>
      </c>
      <c r="I403" s="17">
        <v>4.6046227837661231E-4</v>
      </c>
      <c r="J403" s="3">
        <v>3.6836982270128986E-4</v>
      </c>
      <c r="K403" s="3">
        <v>5.5255473405193471E-4</v>
      </c>
      <c r="L403" s="3">
        <v>2</v>
      </c>
      <c r="N403" s="5">
        <v>402</v>
      </c>
      <c r="O403" s="18"/>
      <c r="P403" s="17"/>
    </row>
    <row r="404" spans="1:16" x14ac:dyDescent="0.35">
      <c r="A404" s="3" t="s">
        <v>1276</v>
      </c>
      <c r="B404" s="3" t="s">
        <v>785</v>
      </c>
      <c r="C404" s="3" t="s">
        <v>790</v>
      </c>
      <c r="G404" s="4">
        <v>0.2</v>
      </c>
      <c r="H404" s="17">
        <v>1.765302830345566E-3</v>
      </c>
      <c r="I404" s="17">
        <v>1.765302830345566E-3</v>
      </c>
      <c r="J404" s="3">
        <v>1.0365013207168335E-3</v>
      </c>
      <c r="K404" s="3">
        <v>1.5547519810752504E-3</v>
      </c>
      <c r="L404" s="3">
        <v>2</v>
      </c>
      <c r="N404" s="5">
        <v>403</v>
      </c>
      <c r="O404" s="18"/>
      <c r="P404" s="17"/>
    </row>
    <row r="405" spans="1:16" x14ac:dyDescent="0.35">
      <c r="A405" s="3" t="s">
        <v>1277</v>
      </c>
      <c r="B405" s="3" t="s">
        <v>790</v>
      </c>
      <c r="C405" s="3" t="s">
        <v>791</v>
      </c>
      <c r="G405" s="4">
        <v>0.1</v>
      </c>
      <c r="H405" s="17">
        <v>8.868690307475565E-4</v>
      </c>
      <c r="I405" s="17">
        <v>8.868690307475565E-4</v>
      </c>
      <c r="J405" s="3">
        <v>4.001083543501995E-4</v>
      </c>
      <c r="K405" s="3">
        <v>6.0016253152529926E-4</v>
      </c>
      <c r="L405" s="3">
        <v>2</v>
      </c>
      <c r="N405" s="5">
        <v>404</v>
      </c>
      <c r="O405" s="18"/>
      <c r="P405" s="17"/>
    </row>
    <row r="406" spans="1:16" x14ac:dyDescent="0.35">
      <c r="A406" s="3" t="s">
        <v>1278</v>
      </c>
      <c r="B406" s="3" t="s">
        <v>790</v>
      </c>
      <c r="C406" s="3" t="s">
        <v>792</v>
      </c>
      <c r="G406" s="4">
        <v>0.1</v>
      </c>
      <c r="H406" s="17">
        <v>2.76456173127612E-3</v>
      </c>
      <c r="I406" s="17">
        <v>2.76456173127612E-3</v>
      </c>
      <c r="J406" s="3">
        <v>2.2116493850208962E-3</v>
      </c>
      <c r="K406" s="3">
        <v>3.3174740775313437E-3</v>
      </c>
      <c r="L406" s="3">
        <v>2</v>
      </c>
      <c r="N406" s="5">
        <v>405</v>
      </c>
      <c r="O406" s="18"/>
      <c r="P406" s="17"/>
    </row>
    <row r="407" spans="1:16" x14ac:dyDescent="0.35">
      <c r="A407" s="3" t="s">
        <v>1279</v>
      </c>
      <c r="B407" s="3" t="s">
        <v>791</v>
      </c>
      <c r="C407" s="3" t="s">
        <v>792</v>
      </c>
      <c r="G407" s="4">
        <v>9.120000000000001</v>
      </c>
      <c r="H407" s="17">
        <v>1.4816593557710821E-3</v>
      </c>
      <c r="I407" s="17">
        <v>1.4816593557710821E-3</v>
      </c>
      <c r="J407" s="3">
        <v>1.9497524600612815E-3</v>
      </c>
      <c r="K407" s="3">
        <v>2.9246286900919223E-3</v>
      </c>
      <c r="L407" s="3">
        <v>2</v>
      </c>
      <c r="N407" s="5">
        <v>406</v>
      </c>
      <c r="O407" s="18"/>
      <c r="P407" s="17"/>
    </row>
    <row r="408" spans="1:16" x14ac:dyDescent="0.25">
      <c r="A408" s="3" t="s">
        <v>1280</v>
      </c>
      <c r="B408" s="3" t="s">
        <v>793</v>
      </c>
      <c r="C408" s="3" t="s">
        <v>792</v>
      </c>
      <c r="G408" s="4">
        <v>3.8700000000000041</v>
      </c>
      <c r="H408" s="17">
        <v>5.1343237156026202E-3</v>
      </c>
      <c r="I408" s="17">
        <v>5.1343237156026202E-3</v>
      </c>
      <c r="J408" s="3">
        <v>4.1074589724820962E-3</v>
      </c>
      <c r="K408" s="3">
        <v>6.1611884587231443E-3</v>
      </c>
      <c r="L408" s="3">
        <v>2</v>
      </c>
      <c r="N408" s="5">
        <v>407</v>
      </c>
      <c r="O408" s="5"/>
      <c r="P408" s="17"/>
    </row>
    <row r="409" spans="1:16" x14ac:dyDescent="0.25">
      <c r="A409" s="3" t="s">
        <v>1281</v>
      </c>
      <c r="B409" s="3" t="s">
        <v>792</v>
      </c>
      <c r="C409" s="3" t="s">
        <v>794</v>
      </c>
      <c r="G409" s="4">
        <v>13.19</v>
      </c>
      <c r="H409" s="17">
        <v>1.44209640792008E-3</v>
      </c>
      <c r="I409" s="17">
        <v>1.44209640792008E-3</v>
      </c>
      <c r="J409" s="3">
        <v>1.0658827473006218E-3</v>
      </c>
      <c r="K409" s="3">
        <v>1.5988241209509324E-3</v>
      </c>
      <c r="L409" s="3">
        <v>2</v>
      </c>
      <c r="N409" s="5">
        <v>408</v>
      </c>
      <c r="O409" s="5"/>
      <c r="P409" s="17"/>
    </row>
    <row r="410" spans="1:16" x14ac:dyDescent="0.35">
      <c r="A410" s="3" t="s">
        <v>1282</v>
      </c>
      <c r="B410" s="3" t="s">
        <v>795</v>
      </c>
      <c r="C410" s="3" t="s">
        <v>789</v>
      </c>
      <c r="G410" s="4">
        <v>0.1</v>
      </c>
      <c r="H410" s="17">
        <v>2.8175085475439202E-3</v>
      </c>
      <c r="I410" s="17">
        <v>2.8175085475439202E-3</v>
      </c>
      <c r="J410" s="3">
        <v>1.1785916877815729E-3</v>
      </c>
      <c r="K410" s="3">
        <v>1.7678875316723592E-3</v>
      </c>
      <c r="L410" s="3">
        <v>2</v>
      </c>
      <c r="N410" s="5">
        <v>409</v>
      </c>
      <c r="O410" s="18"/>
      <c r="P410" s="17"/>
    </row>
    <row r="411" spans="1:16" x14ac:dyDescent="0.35">
      <c r="A411" s="3" t="s">
        <v>1283</v>
      </c>
      <c r="B411" s="3" t="s">
        <v>795</v>
      </c>
      <c r="C411" s="3" t="s">
        <v>796</v>
      </c>
      <c r="G411" s="4">
        <v>0.1</v>
      </c>
      <c r="H411" s="17">
        <v>2.8343976237346111E-3</v>
      </c>
      <c r="I411" s="17">
        <v>2.8343976237346111E-3</v>
      </c>
      <c r="J411" s="3">
        <v>2.2675180989876888E-3</v>
      </c>
      <c r="K411" s="3">
        <v>3.4012771484815334E-3</v>
      </c>
      <c r="L411" s="3">
        <v>2</v>
      </c>
      <c r="N411" s="5">
        <v>410</v>
      </c>
      <c r="O411" s="18"/>
      <c r="P411" s="17"/>
    </row>
    <row r="412" spans="1:16" x14ac:dyDescent="0.35">
      <c r="A412" s="3" t="s">
        <v>1284</v>
      </c>
      <c r="B412" s="3" t="s">
        <v>796</v>
      </c>
      <c r="C412" s="3" t="s">
        <v>797</v>
      </c>
      <c r="G412" s="4">
        <v>0.2</v>
      </c>
      <c r="H412" s="17">
        <v>2.9508549498654829E-3</v>
      </c>
      <c r="I412" s="17">
        <v>2.9508549498654829E-3</v>
      </c>
      <c r="J412" s="3">
        <v>2.3606839598923866E-3</v>
      </c>
      <c r="K412" s="3">
        <v>3.5410259398385791E-3</v>
      </c>
      <c r="L412" s="3">
        <v>2</v>
      </c>
      <c r="N412" s="5">
        <v>411</v>
      </c>
      <c r="O412" s="18"/>
      <c r="P412" s="17"/>
    </row>
    <row r="413" spans="1:16" x14ac:dyDescent="0.35">
      <c r="A413" s="3" t="s">
        <v>1285</v>
      </c>
      <c r="B413" s="3" t="s">
        <v>797</v>
      </c>
      <c r="C413" s="3" t="s">
        <v>798</v>
      </c>
      <c r="G413" s="4">
        <v>0.29999999999999988</v>
      </c>
      <c r="H413" s="17">
        <v>3.8394706089011328E-3</v>
      </c>
      <c r="I413" s="17">
        <v>3.8394706089011328E-3</v>
      </c>
      <c r="J413" s="3">
        <v>3.7080083087881154E-3</v>
      </c>
      <c r="K413" s="3">
        <v>5.562012463182173E-3</v>
      </c>
      <c r="L413" s="3">
        <v>2</v>
      </c>
      <c r="N413" s="5">
        <v>412</v>
      </c>
      <c r="O413" s="18"/>
      <c r="P413" s="17"/>
    </row>
    <row r="414" spans="1:16" x14ac:dyDescent="0.35">
      <c r="A414" s="3" t="s">
        <v>1286</v>
      </c>
      <c r="B414" s="3" t="s">
        <v>798</v>
      </c>
      <c r="C414" s="3" t="s">
        <v>799</v>
      </c>
      <c r="G414" s="4">
        <v>0.4</v>
      </c>
      <c r="H414" s="17">
        <v>3.7559463439419146E-9</v>
      </c>
      <c r="I414" s="17">
        <v>3.7559463439419146E-9</v>
      </c>
      <c r="J414" s="3">
        <v>1.9335497848070651E-9</v>
      </c>
      <c r="K414" s="3">
        <v>2.9003246772105972E-9</v>
      </c>
      <c r="L414" s="3">
        <v>2</v>
      </c>
      <c r="N414" s="5">
        <v>413</v>
      </c>
      <c r="O414" s="18"/>
      <c r="P414" s="17"/>
    </row>
    <row r="415" spans="1:16" x14ac:dyDescent="0.35">
      <c r="A415" s="3" t="s">
        <v>1287</v>
      </c>
      <c r="B415" s="3" t="s">
        <v>799</v>
      </c>
      <c r="C415" s="3" t="s">
        <v>800</v>
      </c>
      <c r="G415" s="4">
        <v>0.50000000000000011</v>
      </c>
      <c r="H415" s="17">
        <v>4.1919345590324276E-3</v>
      </c>
      <c r="I415" s="17">
        <v>4.1919345590324276E-3</v>
      </c>
      <c r="J415" s="3">
        <v>3.8839534741946058E-3</v>
      </c>
      <c r="K415" s="3">
        <v>5.8259302112919084E-3</v>
      </c>
      <c r="L415" s="3">
        <v>2</v>
      </c>
      <c r="N415" s="5">
        <v>414</v>
      </c>
      <c r="O415" s="18"/>
      <c r="P415" s="17"/>
    </row>
    <row r="416" spans="1:16" x14ac:dyDescent="0.35">
      <c r="A416" s="3" t="s">
        <v>1288</v>
      </c>
      <c r="B416" s="3" t="s">
        <v>800</v>
      </c>
      <c r="C416" s="3" t="s">
        <v>801</v>
      </c>
      <c r="G416" s="4">
        <v>0.6</v>
      </c>
      <c r="H416" s="17">
        <v>3.0739237279740639E-3</v>
      </c>
      <c r="I416" s="17">
        <v>3.0739237279740639E-3</v>
      </c>
      <c r="J416" s="3">
        <v>2.4591389823792513E-3</v>
      </c>
      <c r="K416" s="3">
        <v>3.6887084735688766E-3</v>
      </c>
      <c r="L416" s="3">
        <v>2</v>
      </c>
      <c r="N416" s="5">
        <v>415</v>
      </c>
      <c r="O416" s="18"/>
      <c r="P416" s="17"/>
    </row>
    <row r="417" spans="1:16" x14ac:dyDescent="0.35">
      <c r="A417" s="3" t="s">
        <v>1289</v>
      </c>
      <c r="B417" s="3" t="s">
        <v>801</v>
      </c>
      <c r="C417" s="3" t="s">
        <v>802</v>
      </c>
      <c r="G417" s="4">
        <v>34.36999999999999</v>
      </c>
      <c r="H417" s="17">
        <v>3.9918151544448338E-3</v>
      </c>
      <c r="I417" s="17">
        <v>3.9918151544448338E-3</v>
      </c>
      <c r="J417" s="3">
        <f>I417*0.1</f>
        <v>3.991815154444834E-4</v>
      </c>
      <c r="K417" s="3">
        <f>I417*10</f>
        <v>3.991815154444834E-2</v>
      </c>
      <c r="L417" s="3">
        <v>2</v>
      </c>
      <c r="N417" s="5">
        <v>416</v>
      </c>
      <c r="O417" s="18"/>
      <c r="P417" s="17"/>
    </row>
    <row r="418" spans="1:16" x14ac:dyDescent="0.35">
      <c r="A418" s="3" t="s">
        <v>1290</v>
      </c>
      <c r="B418" s="3" t="s">
        <v>802</v>
      </c>
      <c r="C418" s="3" t="s">
        <v>803</v>
      </c>
      <c r="G418" s="4">
        <v>16.86999999999999</v>
      </c>
      <c r="H418" s="19">
        <v>3.3834198041693608E-3</v>
      </c>
      <c r="I418" s="19">
        <v>3.3834198041693608E-3</v>
      </c>
      <c r="J418" s="3">
        <v>1.7927856306783651E-3</v>
      </c>
      <c r="K418" s="3">
        <v>2.6891784460175475E-3</v>
      </c>
      <c r="L418" s="3">
        <v>2</v>
      </c>
      <c r="N418" s="5">
        <v>417</v>
      </c>
      <c r="O418" s="18"/>
      <c r="P418" s="17"/>
    </row>
    <row r="419" spans="1:16" x14ac:dyDescent="0.35">
      <c r="A419" s="3" t="s">
        <v>1291</v>
      </c>
      <c r="B419" s="3" t="s">
        <v>803</v>
      </c>
      <c r="C419" s="3" t="s">
        <v>804</v>
      </c>
      <c r="G419" s="4">
        <v>19.519999999999989</v>
      </c>
      <c r="H419" s="17">
        <v>4.2021526818932743E-3</v>
      </c>
      <c r="I419" s="17">
        <v>4.2021526818932743E-3</v>
      </c>
      <c r="J419" s="3">
        <v>6.5112076085651425E-3</v>
      </c>
      <c r="K419" s="3">
        <v>9.7668114128477129E-3</v>
      </c>
      <c r="L419" s="3">
        <v>2</v>
      </c>
      <c r="N419" s="5">
        <v>418</v>
      </c>
      <c r="O419" s="18"/>
      <c r="P419" s="17"/>
    </row>
    <row r="420" spans="1:16" x14ac:dyDescent="0.35">
      <c r="A420" s="3" t="s">
        <v>1292</v>
      </c>
      <c r="B420" s="3" t="s">
        <v>804</v>
      </c>
      <c r="C420" s="3" t="s">
        <v>805</v>
      </c>
      <c r="G420" s="4">
        <v>21.02999999999999</v>
      </c>
      <c r="H420" s="19">
        <v>2.705236319356119E-3</v>
      </c>
      <c r="I420" s="19">
        <v>2.705236319356119E-3</v>
      </c>
      <c r="J420" s="3">
        <v>1.2368711349672479E-3</v>
      </c>
      <c r="K420" s="3">
        <v>1.8553067024508719E-3</v>
      </c>
      <c r="L420" s="3">
        <v>2</v>
      </c>
      <c r="N420" s="5">
        <v>419</v>
      </c>
      <c r="O420" s="18"/>
      <c r="P420" s="17"/>
    </row>
    <row r="421" spans="1:16" x14ac:dyDescent="0.35">
      <c r="A421" s="3" t="s">
        <v>1293</v>
      </c>
      <c r="B421" s="3" t="s">
        <v>805</v>
      </c>
      <c r="C421" s="3" t="s">
        <v>806</v>
      </c>
      <c r="G421" s="4">
        <v>21.129999999999988</v>
      </c>
      <c r="H421" s="17">
        <v>3.3241080503339689E-3</v>
      </c>
      <c r="I421" s="17">
        <v>3.3241080503339689E-3</v>
      </c>
      <c r="J421" s="3">
        <v>1.7490853615333417E-3</v>
      </c>
      <c r="K421" s="3">
        <v>2.6236280423000123E-3</v>
      </c>
      <c r="L421" s="3">
        <v>2</v>
      </c>
      <c r="N421" s="5">
        <v>420</v>
      </c>
      <c r="O421" s="18"/>
      <c r="P421" s="17"/>
    </row>
    <row r="422" spans="1:16" x14ac:dyDescent="0.35">
      <c r="A422" s="3" t="s">
        <v>1294</v>
      </c>
      <c r="B422" s="3" t="s">
        <v>806</v>
      </c>
      <c r="C422" s="3" t="s">
        <v>807</v>
      </c>
      <c r="G422" s="4">
        <v>21.22999999999999</v>
      </c>
      <c r="H422" s="17">
        <v>3.3061517646676059E-3</v>
      </c>
      <c r="I422" s="17">
        <v>3.3061517646676059E-3</v>
      </c>
      <c r="J422" s="3">
        <f>I422*0.8</f>
        <v>2.6449214117340849E-3</v>
      </c>
      <c r="K422" s="3">
        <f>I422*1.2</f>
        <v>3.967382117601127E-3</v>
      </c>
      <c r="L422" s="3">
        <v>2</v>
      </c>
      <c r="N422" s="5">
        <v>421</v>
      </c>
      <c r="O422" s="18"/>
      <c r="P422" s="17"/>
    </row>
    <row r="423" spans="1:16" x14ac:dyDescent="0.35">
      <c r="A423" s="3" t="s">
        <v>1295</v>
      </c>
      <c r="B423" s="3" t="s">
        <v>808</v>
      </c>
      <c r="C423" s="3" t="s">
        <v>809</v>
      </c>
      <c r="G423" s="4">
        <v>11.75</v>
      </c>
      <c r="H423" s="17">
        <v>1.0445588581914611E-2</v>
      </c>
      <c r="I423" s="17">
        <v>1.0445588581914611E-2</v>
      </c>
      <c r="J423" s="3">
        <v>5.2227942909573053E-3</v>
      </c>
      <c r="K423" s="3">
        <v>8.6012580842394645E-2</v>
      </c>
      <c r="L423" s="3">
        <v>2</v>
      </c>
      <c r="N423" s="5">
        <v>422</v>
      </c>
      <c r="O423" s="18"/>
      <c r="P423" s="17"/>
    </row>
    <row r="424" spans="1:16" x14ac:dyDescent="0.35">
      <c r="A424" s="3" t="s">
        <v>1296</v>
      </c>
      <c r="B424" s="3" t="s">
        <v>809</v>
      </c>
      <c r="C424" s="3" t="s">
        <v>810</v>
      </c>
      <c r="D424" s="3">
        <v>1.85</v>
      </c>
      <c r="E424" s="3">
        <v>1.85</v>
      </c>
      <c r="F424" s="3">
        <v>1.85</v>
      </c>
      <c r="G424" s="4">
        <v>1.85</v>
      </c>
      <c r="H424" s="17">
        <v>3.071376003455807E-3</v>
      </c>
      <c r="I424" s="17">
        <v>3.071376003455807E-3</v>
      </c>
      <c r="J424" s="3">
        <v>2.4571008027646458E-3</v>
      </c>
      <c r="K424" s="3">
        <v>3.6856512041469683E-3</v>
      </c>
      <c r="L424" s="3">
        <v>2</v>
      </c>
      <c r="N424" s="5">
        <v>423</v>
      </c>
      <c r="O424" s="18"/>
      <c r="P424" s="17"/>
    </row>
    <row r="425" spans="1:16" x14ac:dyDescent="0.35">
      <c r="A425" s="3" t="s">
        <v>1297</v>
      </c>
      <c r="B425" s="3" t="s">
        <v>810</v>
      </c>
      <c r="C425" s="3" t="s">
        <v>811</v>
      </c>
      <c r="G425" s="4">
        <v>1.95</v>
      </c>
      <c r="H425" s="17">
        <v>3.286578944747741E-3</v>
      </c>
      <c r="I425" s="17">
        <v>3.286578944747741E-3</v>
      </c>
      <c r="J425" s="3">
        <v>2.6292631557981931E-3</v>
      </c>
      <c r="K425" s="3">
        <v>3.9438947336972894E-3</v>
      </c>
      <c r="L425" s="3">
        <v>2</v>
      </c>
      <c r="N425" s="5">
        <v>424</v>
      </c>
      <c r="O425" s="18"/>
      <c r="P425" s="17"/>
    </row>
    <row r="426" spans="1:16" x14ac:dyDescent="0.35">
      <c r="A426" s="3" t="s">
        <v>1298</v>
      </c>
      <c r="B426" s="3" t="s">
        <v>811</v>
      </c>
      <c r="C426" s="3" t="s">
        <v>812</v>
      </c>
      <c r="G426" s="4">
        <v>2.350000000000001</v>
      </c>
      <c r="H426" s="17">
        <v>3.655459159143564E-3</v>
      </c>
      <c r="I426" s="17">
        <v>3.655459159143564E-3</v>
      </c>
      <c r="J426" s="3">
        <v>2.9243673273148512E-3</v>
      </c>
      <c r="K426" s="3">
        <v>4.3865509909722768E-3</v>
      </c>
      <c r="L426" s="3">
        <v>2</v>
      </c>
      <c r="N426" s="5">
        <v>425</v>
      </c>
      <c r="O426" s="18"/>
      <c r="P426" s="17"/>
    </row>
    <row r="427" spans="1:16" s="15" customFormat="1" x14ac:dyDescent="0.35">
      <c r="A427" s="15" t="s">
        <v>1299</v>
      </c>
      <c r="B427" s="15" t="s">
        <v>813</v>
      </c>
      <c r="C427" s="15" t="s">
        <v>814</v>
      </c>
      <c r="D427" s="3"/>
      <c r="E427" s="3"/>
      <c r="F427" s="3">
        <v>2.83</v>
      </c>
      <c r="G427" s="4">
        <v>60.92</v>
      </c>
      <c r="H427" s="24">
        <v>8.9417032516751847E-3</v>
      </c>
      <c r="I427" s="24">
        <v>8.9417032516751847E-3</v>
      </c>
      <c r="J427" s="15">
        <v>4.4708516258375923E-3</v>
      </c>
      <c r="K427" s="15">
        <v>5.6715825519727562E-3</v>
      </c>
      <c r="L427" s="15">
        <v>2</v>
      </c>
      <c r="M427" s="15" t="s">
        <v>2056</v>
      </c>
      <c r="N427" s="16">
        <v>426</v>
      </c>
      <c r="O427" s="25"/>
      <c r="P427" s="24"/>
    </row>
    <row r="428" spans="1:16" x14ac:dyDescent="0.35">
      <c r="A428" s="3" t="s">
        <v>1300</v>
      </c>
      <c r="B428" s="3" t="s">
        <v>815</v>
      </c>
      <c r="C428" s="3" t="s">
        <v>813</v>
      </c>
      <c r="G428" s="4">
        <v>0.1</v>
      </c>
      <c r="H428" s="17">
        <v>9.3315597659613496E-3</v>
      </c>
      <c r="I428" s="17">
        <v>9.3315597659613496E-3</v>
      </c>
      <c r="J428" s="3">
        <v>1.5002548928994728E-3</v>
      </c>
      <c r="K428" s="3">
        <v>1.8663119531922699E-2</v>
      </c>
      <c r="L428" s="3">
        <v>2</v>
      </c>
      <c r="N428" s="5">
        <v>427</v>
      </c>
      <c r="O428" s="18"/>
      <c r="P428" s="17"/>
    </row>
    <row r="429" spans="1:16" x14ac:dyDescent="0.35">
      <c r="A429" s="3" t="s">
        <v>1301</v>
      </c>
      <c r="B429" s="3" t="s">
        <v>815</v>
      </c>
      <c r="C429" s="3" t="s">
        <v>816</v>
      </c>
      <c r="G429" s="4">
        <v>54.15999999999989</v>
      </c>
      <c r="H429" s="17">
        <v>6.4443932907231379E-4</v>
      </c>
      <c r="I429" s="17">
        <v>6.4443932907231379E-4</v>
      </c>
      <c r="J429" s="3">
        <v>3.6699750887179457E-4</v>
      </c>
      <c r="K429" s="3">
        <v>5.5049626330769177E-4</v>
      </c>
      <c r="L429" s="3">
        <v>2</v>
      </c>
      <c r="N429" s="5">
        <v>428</v>
      </c>
      <c r="O429" s="18"/>
      <c r="P429" s="17"/>
    </row>
    <row r="430" spans="1:16" x14ac:dyDescent="0.35">
      <c r="A430" s="3" t="s">
        <v>1302</v>
      </c>
      <c r="B430" s="3" t="s">
        <v>817</v>
      </c>
      <c r="C430" s="3" t="s">
        <v>815</v>
      </c>
      <c r="G430" s="4">
        <v>54.259999999999877</v>
      </c>
      <c r="H430" s="17">
        <v>9.3832928601533198E-3</v>
      </c>
      <c r="I430" s="17">
        <v>9.3832928601533198E-3</v>
      </c>
      <c r="J430" s="3">
        <v>3.7888549058603415E-3</v>
      </c>
      <c r="K430" s="3">
        <v>7.9218659339508141E-2</v>
      </c>
      <c r="L430" s="3">
        <v>2</v>
      </c>
      <c r="N430" s="5">
        <v>429</v>
      </c>
      <c r="O430" s="18"/>
      <c r="P430" s="17"/>
    </row>
    <row r="431" spans="1:16" x14ac:dyDescent="0.35">
      <c r="A431" s="3" t="s">
        <v>1303</v>
      </c>
      <c r="B431" s="3" t="s">
        <v>817</v>
      </c>
      <c r="C431" s="3" t="s">
        <v>818</v>
      </c>
      <c r="G431" s="4">
        <v>13.79999999999999</v>
      </c>
      <c r="H431" s="17">
        <v>2.1713216653297032E-3</v>
      </c>
      <c r="I431" s="17">
        <v>2.1713216653297032E-3</v>
      </c>
      <c r="J431" s="3">
        <v>9.7584974388580971E-3</v>
      </c>
      <c r="K431" s="3">
        <v>1.4637746158287144E-2</v>
      </c>
      <c r="L431" s="3">
        <v>2</v>
      </c>
      <c r="N431" s="5">
        <v>430</v>
      </c>
      <c r="O431" s="18"/>
      <c r="P431" s="17"/>
    </row>
    <row r="432" spans="1:16" x14ac:dyDescent="0.35">
      <c r="A432" s="3" t="s">
        <v>1304</v>
      </c>
      <c r="B432" s="3" t="s">
        <v>819</v>
      </c>
      <c r="C432" s="3" t="s">
        <v>817</v>
      </c>
      <c r="G432" s="4">
        <v>68.059999999999846</v>
      </c>
      <c r="H432" s="17">
        <v>9.1192580790491959E-3</v>
      </c>
      <c r="I432" s="17">
        <v>9.1192580790491959E-3</v>
      </c>
      <c r="J432" s="3">
        <f>I432*0.8</f>
        <v>7.2954064632393574E-3</v>
      </c>
      <c r="K432" s="3">
        <f>I432*1.2</f>
        <v>1.0943109694859034E-2</v>
      </c>
      <c r="L432" s="3">
        <v>2</v>
      </c>
      <c r="N432" s="5">
        <v>431</v>
      </c>
      <c r="O432" s="18"/>
      <c r="P432" s="17"/>
    </row>
    <row r="433" spans="1:16" x14ac:dyDescent="0.35">
      <c r="A433" s="3" t="s">
        <v>1305</v>
      </c>
      <c r="B433" s="3" t="s">
        <v>820</v>
      </c>
      <c r="C433" s="3" t="s">
        <v>819</v>
      </c>
      <c r="G433" s="4">
        <v>60.959999999999887</v>
      </c>
      <c r="H433" s="17">
        <v>9.1911405410630021E-3</v>
      </c>
      <c r="I433" s="17">
        <v>9.1911405410630021E-3</v>
      </c>
      <c r="J433" s="3">
        <f>I433*0.8</f>
        <v>7.3529124328504019E-3</v>
      </c>
      <c r="K433" s="3">
        <f>I433*1.2</f>
        <v>1.1029368649275601E-2</v>
      </c>
      <c r="L433" s="3">
        <v>2</v>
      </c>
      <c r="N433" s="5">
        <v>432</v>
      </c>
      <c r="O433" s="18"/>
      <c r="P433" s="17"/>
    </row>
    <row r="434" spans="1:16" x14ac:dyDescent="0.35">
      <c r="A434" s="3" t="s">
        <v>1306</v>
      </c>
      <c r="B434" s="3" t="s">
        <v>821</v>
      </c>
      <c r="C434" s="3" t="s">
        <v>820</v>
      </c>
      <c r="G434" s="4">
        <v>58.349999999999888</v>
      </c>
      <c r="H434" s="17">
        <v>9.2092626612103341E-3</v>
      </c>
      <c r="I434" s="17">
        <v>9.2092626612103341E-3</v>
      </c>
      <c r="J434" s="3">
        <v>7.3674101289682679E-3</v>
      </c>
      <c r="K434" s="3">
        <v>1.10511151934524E-2</v>
      </c>
      <c r="L434" s="3">
        <v>2</v>
      </c>
      <c r="N434" s="5">
        <v>433</v>
      </c>
      <c r="O434" s="18"/>
      <c r="P434" s="17"/>
    </row>
    <row r="435" spans="1:16" x14ac:dyDescent="0.35">
      <c r="A435" s="3" t="s">
        <v>1307</v>
      </c>
      <c r="B435" s="3" t="s">
        <v>822</v>
      </c>
      <c r="C435" s="3" t="s">
        <v>821</v>
      </c>
      <c r="G435" s="4">
        <v>55.149999999999899</v>
      </c>
      <c r="H435" s="17">
        <v>7.0125246964380201E-3</v>
      </c>
      <c r="I435" s="17">
        <v>7.0125246964380201E-3</v>
      </c>
      <c r="J435" s="3">
        <f>I435*0.8</f>
        <v>5.6100197571504161E-3</v>
      </c>
      <c r="K435" s="3">
        <f>I435*1.2</f>
        <v>8.4150296357256241E-3</v>
      </c>
      <c r="L435" s="3">
        <v>2</v>
      </c>
      <c r="N435" s="5">
        <v>434</v>
      </c>
      <c r="O435" s="18"/>
      <c r="P435" s="17"/>
    </row>
    <row r="436" spans="1:16" x14ac:dyDescent="0.35">
      <c r="A436" s="3" t="s">
        <v>1308</v>
      </c>
      <c r="B436" s="3" t="s">
        <v>823</v>
      </c>
      <c r="C436" s="3" t="s">
        <v>822</v>
      </c>
      <c r="G436" s="4">
        <v>55.049999999999891</v>
      </c>
      <c r="H436" s="17">
        <v>7.6486906201860454E-3</v>
      </c>
      <c r="I436" s="17">
        <v>7.6486906201860454E-3</v>
      </c>
      <c r="J436" s="3">
        <f>I436*0.8</f>
        <v>6.1189524961488368E-3</v>
      </c>
      <c r="K436" s="3">
        <f>I436*1.2</f>
        <v>9.1784287442232548E-3</v>
      </c>
      <c r="L436" s="3">
        <v>2</v>
      </c>
      <c r="N436" s="5">
        <v>435</v>
      </c>
      <c r="O436" s="18"/>
      <c r="P436" s="17"/>
    </row>
    <row r="437" spans="1:16" x14ac:dyDescent="0.35">
      <c r="A437" s="3" t="s">
        <v>1309</v>
      </c>
      <c r="B437" s="3" t="s">
        <v>824</v>
      </c>
      <c r="C437" s="3" t="s">
        <v>823</v>
      </c>
      <c r="G437" s="4">
        <v>54.949999999999903</v>
      </c>
      <c r="H437" s="19">
        <v>9.1920432456702502E-3</v>
      </c>
      <c r="I437" s="19">
        <v>9.1920432456702502E-3</v>
      </c>
      <c r="J437" s="3">
        <v>1.1297698229672697E-3</v>
      </c>
      <c r="K437" s="3">
        <v>1.6946547344509047E-3</v>
      </c>
      <c r="L437" s="3">
        <v>2</v>
      </c>
      <c r="N437" s="5">
        <v>436</v>
      </c>
      <c r="O437" s="18"/>
      <c r="P437" s="17"/>
    </row>
    <row r="438" spans="1:16" x14ac:dyDescent="0.35">
      <c r="A438" s="3" t="s">
        <v>1310</v>
      </c>
      <c r="B438" s="3" t="s">
        <v>825</v>
      </c>
      <c r="C438" s="3" t="s">
        <v>824</v>
      </c>
      <c r="G438" s="4">
        <v>54.849999999999888</v>
      </c>
      <c r="H438" s="17">
        <v>9.3441471897559563E-3</v>
      </c>
      <c r="I438" s="17">
        <v>9.3441471897559563E-3</v>
      </c>
      <c r="J438" s="3">
        <v>1.1746418314035785E-2</v>
      </c>
      <c r="K438" s="3">
        <v>1.7619627471053674E-2</v>
      </c>
      <c r="L438" s="3">
        <v>2</v>
      </c>
      <c r="N438" s="5">
        <v>437</v>
      </c>
      <c r="O438" s="18"/>
      <c r="P438" s="17"/>
    </row>
    <row r="439" spans="1:16" x14ac:dyDescent="0.35">
      <c r="A439" s="3" t="s">
        <v>1311</v>
      </c>
      <c r="B439" s="3" t="s">
        <v>826</v>
      </c>
      <c r="C439" s="3" t="s">
        <v>825</v>
      </c>
      <c r="G439" s="4">
        <v>54.749999999999893</v>
      </c>
      <c r="H439" s="17">
        <v>9.2072154146071276E-3</v>
      </c>
      <c r="I439" s="17">
        <v>9.2072154146071276E-3</v>
      </c>
      <c r="J439" s="3">
        <v>3.8138065899110786E-3</v>
      </c>
      <c r="K439" s="3">
        <v>4.6032594204301717E-2</v>
      </c>
      <c r="L439" s="3">
        <v>2</v>
      </c>
      <c r="N439" s="5">
        <v>438</v>
      </c>
      <c r="O439" s="18"/>
      <c r="P439" s="17"/>
    </row>
    <row r="440" spans="1:16" x14ac:dyDescent="0.35">
      <c r="A440" s="3" t="s">
        <v>1312</v>
      </c>
      <c r="B440" s="3" t="s">
        <v>826</v>
      </c>
      <c r="C440" s="3" t="s">
        <v>827</v>
      </c>
      <c r="G440" s="4">
        <v>13.73</v>
      </c>
      <c r="H440" s="17">
        <v>1.0162018712423641E-3</v>
      </c>
      <c r="I440" s="17">
        <v>1.0162018712423641E-3</v>
      </c>
      <c r="J440" s="3">
        <f>I440*0.1</f>
        <v>1.0162018712423641E-4</v>
      </c>
      <c r="K440" s="3">
        <f>I440*10</f>
        <v>1.0162018712423641E-2</v>
      </c>
      <c r="L440" s="3">
        <v>2</v>
      </c>
      <c r="N440" s="5">
        <v>439</v>
      </c>
      <c r="O440" s="18"/>
      <c r="P440" s="17"/>
    </row>
    <row r="441" spans="1:16" x14ac:dyDescent="0.35">
      <c r="A441" s="3" t="s">
        <v>1313</v>
      </c>
      <c r="B441" s="3" t="s">
        <v>828</v>
      </c>
      <c r="C441" s="3" t="s">
        <v>826</v>
      </c>
      <c r="G441" s="4">
        <v>68.479999999999862</v>
      </c>
      <c r="H441" s="17">
        <v>9.1657942396325427E-3</v>
      </c>
      <c r="I441" s="17">
        <v>9.1657942396325427E-3</v>
      </c>
      <c r="J441" s="3">
        <f>I441*0.8</f>
        <v>7.3326353917060345E-3</v>
      </c>
      <c r="K441" s="3">
        <f>I441*1.2</f>
        <v>1.0998953087559051E-2</v>
      </c>
      <c r="L441" s="3">
        <v>2</v>
      </c>
      <c r="N441" s="5">
        <v>440</v>
      </c>
      <c r="O441" s="18"/>
      <c r="P441" s="17"/>
    </row>
    <row r="442" spans="1:16" x14ac:dyDescent="0.35">
      <c r="A442" s="3" t="s">
        <v>1314</v>
      </c>
      <c r="B442" s="3" t="s">
        <v>829</v>
      </c>
      <c r="C442" s="3" t="s">
        <v>828</v>
      </c>
      <c r="G442" s="4">
        <v>64.499999999999886</v>
      </c>
      <c r="H442" s="17">
        <v>9.1942116747070687E-3</v>
      </c>
      <c r="I442" s="17">
        <v>9.1942116747070687E-3</v>
      </c>
      <c r="J442" s="3">
        <f>I442*0.8</f>
        <v>7.3553693397656553E-3</v>
      </c>
      <c r="K442" s="3">
        <f>I442*1.2</f>
        <v>1.1033054009648482E-2</v>
      </c>
      <c r="L442" s="3">
        <v>2</v>
      </c>
      <c r="N442" s="5">
        <v>441</v>
      </c>
      <c r="O442" s="18"/>
      <c r="P442" s="17"/>
    </row>
    <row r="443" spans="1:16" x14ac:dyDescent="0.35">
      <c r="A443" s="3" t="s">
        <v>1315</v>
      </c>
      <c r="B443" s="3" t="s">
        <v>830</v>
      </c>
      <c r="C443" s="3" t="s">
        <v>829</v>
      </c>
      <c r="G443" s="4">
        <v>64.399999999999878</v>
      </c>
      <c r="H443" s="17">
        <v>9.3620951197752669E-3</v>
      </c>
      <c r="I443" s="17">
        <v>9.3620951197752669E-3</v>
      </c>
      <c r="J443" s="3">
        <v>3.8367261628343683E-3</v>
      </c>
      <c r="K443" s="3">
        <v>1.3693271468960167E-2</v>
      </c>
      <c r="L443" s="3">
        <v>2</v>
      </c>
      <c r="N443" s="5">
        <v>442</v>
      </c>
      <c r="O443" s="18"/>
      <c r="P443" s="17"/>
    </row>
    <row r="444" spans="1:16" x14ac:dyDescent="0.35">
      <c r="A444" s="3" t="s">
        <v>1316</v>
      </c>
      <c r="B444" s="3" t="s">
        <v>831</v>
      </c>
      <c r="C444" s="3" t="s">
        <v>830</v>
      </c>
      <c r="G444" s="4">
        <v>64.299999999999898</v>
      </c>
      <c r="H444" s="17">
        <v>8.6310435031681596E-3</v>
      </c>
      <c r="I444" s="17">
        <v>8.6310435031681596E-3</v>
      </c>
      <c r="J444" s="3">
        <v>4.3155217515840798E-3</v>
      </c>
      <c r="K444" s="3">
        <v>4.5858084639906179E-3</v>
      </c>
      <c r="L444" s="3">
        <v>2</v>
      </c>
      <c r="N444" s="5">
        <v>443</v>
      </c>
      <c r="O444" s="18"/>
      <c r="P444" s="17"/>
    </row>
    <row r="445" spans="1:16" x14ac:dyDescent="0.35">
      <c r="A445" s="3" t="s">
        <v>1317</v>
      </c>
      <c r="B445" s="3" t="s">
        <v>831</v>
      </c>
      <c r="C445" s="3" t="s">
        <v>832</v>
      </c>
      <c r="G445" s="4">
        <v>39.450000000000003</v>
      </c>
      <c r="H445" s="17">
        <v>9.5884032977340081E-3</v>
      </c>
      <c r="I445" s="17">
        <v>9.5884032977340081E-3</v>
      </c>
      <c r="J445" s="3">
        <v>3.0304616410572263E-3</v>
      </c>
      <c r="K445" s="3">
        <v>1.9176806595468016E-2</v>
      </c>
      <c r="L445" s="3">
        <v>2</v>
      </c>
      <c r="N445" s="5">
        <v>444</v>
      </c>
      <c r="O445" s="18"/>
      <c r="P445" s="17"/>
    </row>
    <row r="446" spans="1:16" x14ac:dyDescent="0.35">
      <c r="A446" s="3" t="s">
        <v>1318</v>
      </c>
      <c r="B446" s="3" t="s">
        <v>832</v>
      </c>
      <c r="C446" s="3" t="s">
        <v>833</v>
      </c>
      <c r="G446" s="4">
        <v>42.639999999999993</v>
      </c>
      <c r="H446" s="17">
        <v>1.204257293425004E-2</v>
      </c>
      <c r="I446" s="17">
        <v>1.204257293425004E-2</v>
      </c>
      <c r="J446" s="3">
        <v>2.7009360366441956E-3</v>
      </c>
      <c r="K446" s="3">
        <v>2.408514586850008E-2</v>
      </c>
      <c r="L446" s="3">
        <v>2</v>
      </c>
      <c r="N446" s="5">
        <v>445</v>
      </c>
      <c r="O446" s="18"/>
      <c r="P446" s="17"/>
    </row>
    <row r="447" spans="1:16" x14ac:dyDescent="0.35">
      <c r="A447" s="3" t="s">
        <v>1319</v>
      </c>
      <c r="B447" s="3" t="s">
        <v>833</v>
      </c>
      <c r="C447" s="3" t="s">
        <v>834</v>
      </c>
      <c r="G447" s="4">
        <v>44.539999999999992</v>
      </c>
      <c r="H447" s="17">
        <v>6.3203385739304882E-3</v>
      </c>
      <c r="I447" s="17">
        <v>6.3203385739304882E-3</v>
      </c>
      <c r="J447" s="3">
        <v>1.2640677147860977E-3</v>
      </c>
      <c r="K447" s="3">
        <v>1.2640677147860976E-2</v>
      </c>
      <c r="L447" s="3">
        <v>2</v>
      </c>
      <c r="N447" s="5">
        <v>446</v>
      </c>
      <c r="O447" s="18"/>
      <c r="P447" s="17"/>
    </row>
    <row r="448" spans="1:16" x14ac:dyDescent="0.35">
      <c r="A448" s="3" t="s">
        <v>1320</v>
      </c>
      <c r="B448" s="3" t="s">
        <v>834</v>
      </c>
      <c r="C448" s="3" t="s">
        <v>835</v>
      </c>
      <c r="G448" s="4">
        <v>44.639999999999993</v>
      </c>
      <c r="H448" s="17">
        <v>9.1508642258155276E-3</v>
      </c>
      <c r="I448" s="17">
        <v>9.1508642258155276E-3</v>
      </c>
      <c r="J448" s="3">
        <v>1.7526593200085064E-3</v>
      </c>
      <c r="K448" s="3">
        <v>2.6289889800127594E-3</v>
      </c>
      <c r="L448" s="3">
        <v>2</v>
      </c>
      <c r="N448" s="5">
        <v>447</v>
      </c>
      <c r="O448" s="18"/>
      <c r="P448" s="17"/>
    </row>
    <row r="449" spans="1:19" x14ac:dyDescent="0.35">
      <c r="A449" s="3" t="s">
        <v>1321</v>
      </c>
      <c r="B449" s="3" t="s">
        <v>835</v>
      </c>
      <c r="C449" s="3" t="s">
        <v>836</v>
      </c>
      <c r="G449" s="4">
        <v>44.739999999999988</v>
      </c>
      <c r="H449" s="17">
        <v>9.2672392209022323E-3</v>
      </c>
      <c r="I449" s="17">
        <v>9.2672392209022323E-3</v>
      </c>
      <c r="J449" s="3">
        <v>6.1254235579814593E-3</v>
      </c>
      <c r="K449" s="3">
        <v>9.1881353369721881E-3</v>
      </c>
      <c r="L449" s="3">
        <v>2</v>
      </c>
      <c r="N449" s="5">
        <v>448</v>
      </c>
      <c r="O449" s="18"/>
      <c r="P449" s="17"/>
    </row>
    <row r="450" spans="1:19" x14ac:dyDescent="0.35">
      <c r="A450" s="3" t="s">
        <v>1322</v>
      </c>
      <c r="B450" s="3" t="s">
        <v>836</v>
      </c>
      <c r="C450" s="3" t="s">
        <v>837</v>
      </c>
      <c r="G450" s="4">
        <v>0.1</v>
      </c>
      <c r="H450" s="17">
        <v>1.2138649376514481E-2</v>
      </c>
      <c r="I450" s="17">
        <v>1.2138649376514481E-2</v>
      </c>
      <c r="J450" s="3">
        <v>9.7109195012115845E-3</v>
      </c>
      <c r="K450" s="3">
        <v>1.4566379251817377E-2</v>
      </c>
      <c r="L450" s="3">
        <v>2</v>
      </c>
      <c r="N450" s="5">
        <v>449</v>
      </c>
      <c r="O450" s="18"/>
      <c r="P450" s="17"/>
    </row>
    <row r="451" spans="1:19" x14ac:dyDescent="0.35">
      <c r="A451" s="3" t="s">
        <v>1323</v>
      </c>
      <c r="B451" s="3" t="s">
        <v>836</v>
      </c>
      <c r="C451" s="3" t="s">
        <v>838</v>
      </c>
      <c r="G451" s="4">
        <v>44.639999999999993</v>
      </c>
      <c r="H451" s="17">
        <v>8.3624275449026338E-3</v>
      </c>
      <c r="I451" s="17">
        <v>8.3624275449026338E-3</v>
      </c>
      <c r="J451" s="3">
        <v>1.2146706582743048E-2</v>
      </c>
      <c r="K451" s="3">
        <v>1.8220059874114573E-2</v>
      </c>
      <c r="L451" s="3">
        <v>2</v>
      </c>
      <c r="N451" s="5">
        <v>450</v>
      </c>
      <c r="O451" s="18"/>
      <c r="P451" s="17"/>
      <c r="Q451" s="26"/>
      <c r="R451" s="26"/>
      <c r="S451" s="26"/>
    </row>
    <row r="452" spans="1:19" x14ac:dyDescent="0.35">
      <c r="A452" s="3" t="s">
        <v>1324</v>
      </c>
      <c r="B452" s="3" t="s">
        <v>837</v>
      </c>
      <c r="C452" s="3" t="s">
        <v>839</v>
      </c>
      <c r="G452" s="4">
        <v>0.2</v>
      </c>
      <c r="H452" s="19">
        <v>3.9645562311361763E-3</v>
      </c>
      <c r="I452" s="19">
        <v>3.9645562311361763E-3</v>
      </c>
      <c r="J452" s="3">
        <v>3.0630877084274252E-3</v>
      </c>
      <c r="K452" s="3">
        <v>4.5946315626411369E-3</v>
      </c>
      <c r="L452" s="3">
        <v>2</v>
      </c>
      <c r="N452" s="5">
        <v>451</v>
      </c>
      <c r="O452" s="18"/>
      <c r="P452" s="17"/>
      <c r="Q452" s="26"/>
      <c r="R452" s="26"/>
      <c r="S452" s="26"/>
    </row>
    <row r="453" spans="1:19" x14ac:dyDescent="0.35">
      <c r="A453" s="3" t="s">
        <v>1325</v>
      </c>
      <c r="B453" s="3" t="s">
        <v>839</v>
      </c>
      <c r="C453" s="3" t="s">
        <v>840</v>
      </c>
      <c r="G453" s="4">
        <v>0.3</v>
      </c>
      <c r="H453" s="17">
        <v>3.214594006435598E-3</v>
      </c>
      <c r="I453" s="17">
        <v>3.214594006435598E-3</v>
      </c>
      <c r="J453" s="3">
        <v>2.5716752051484788E-3</v>
      </c>
      <c r="K453" s="3">
        <v>3.8575128077227173E-3</v>
      </c>
      <c r="L453" s="3">
        <v>2</v>
      </c>
      <c r="N453" s="5">
        <v>452</v>
      </c>
      <c r="O453" s="18"/>
      <c r="P453" s="17"/>
      <c r="Q453" s="26"/>
      <c r="R453" s="26"/>
      <c r="S453" s="26"/>
    </row>
    <row r="454" spans="1:19" x14ac:dyDescent="0.35">
      <c r="A454" s="3" t="s">
        <v>1326</v>
      </c>
      <c r="B454" s="3" t="s">
        <v>841</v>
      </c>
      <c r="C454" s="3" t="s">
        <v>813</v>
      </c>
      <c r="G454" s="4">
        <v>60.820000000000007</v>
      </c>
      <c r="H454" s="17">
        <v>1.012161861087886E-3</v>
      </c>
      <c r="I454" s="17">
        <v>1.012161861087886E-3</v>
      </c>
      <c r="J454" s="3">
        <v>2.5510686019908005E-4</v>
      </c>
      <c r="K454" s="3">
        <v>3.8266029029861999E-4</v>
      </c>
      <c r="L454" s="3">
        <v>2</v>
      </c>
      <c r="N454" s="5">
        <v>453</v>
      </c>
      <c r="O454" s="18"/>
      <c r="P454" s="17"/>
    </row>
    <row r="455" spans="1:19" s="15" customFormat="1" ht="16" x14ac:dyDescent="0.35">
      <c r="A455" s="15" t="s">
        <v>1327</v>
      </c>
      <c r="B455" s="15" t="s">
        <v>841</v>
      </c>
      <c r="C455" s="15" t="s">
        <v>842</v>
      </c>
      <c r="D455" s="3">
        <v>4.96</v>
      </c>
      <c r="E455" s="3">
        <v>4.96</v>
      </c>
      <c r="F455" s="3">
        <v>4.96</v>
      </c>
      <c r="G455" s="4">
        <v>4.96</v>
      </c>
      <c r="H455" s="24">
        <v>4.8765077365788209E-3</v>
      </c>
      <c r="I455" s="24">
        <v>4.8765077365788209E-3</v>
      </c>
      <c r="J455" s="15">
        <v>2.4382538682894105E-3</v>
      </c>
      <c r="K455" s="15">
        <v>0.72803631205550945</v>
      </c>
      <c r="L455" s="15">
        <v>2</v>
      </c>
      <c r="M455" s="25" t="s">
        <v>2076</v>
      </c>
      <c r="N455" s="16">
        <v>454</v>
      </c>
      <c r="O455" s="25"/>
      <c r="P455" s="24"/>
    </row>
    <row r="456" spans="1:19" x14ac:dyDescent="0.35">
      <c r="A456" s="3" t="s">
        <v>1328</v>
      </c>
      <c r="B456" s="3" t="s">
        <v>843</v>
      </c>
      <c r="C456" s="3" t="s">
        <v>841</v>
      </c>
      <c r="G456" s="4">
        <v>65.78</v>
      </c>
      <c r="H456" s="17">
        <v>4.1403763393143764E-3</v>
      </c>
      <c r="I456" s="17">
        <v>4.1403763393143764E-3</v>
      </c>
      <c r="J456" s="3">
        <v>6.612409044056064E-3</v>
      </c>
      <c r="K456" s="3">
        <v>9.918613566084096E-3</v>
      </c>
      <c r="L456" s="3">
        <v>2</v>
      </c>
      <c r="N456" s="5">
        <v>455</v>
      </c>
      <c r="O456" s="18"/>
      <c r="P456" s="17"/>
    </row>
    <row r="457" spans="1:19" x14ac:dyDescent="0.35">
      <c r="A457" s="3" t="s">
        <v>1329</v>
      </c>
      <c r="B457" s="3" t="s">
        <v>818</v>
      </c>
      <c r="C457" s="3" t="s">
        <v>843</v>
      </c>
      <c r="D457" s="3">
        <v>61.3</v>
      </c>
      <c r="E457" s="3">
        <v>61.3</v>
      </c>
      <c r="F457" s="3">
        <v>61.3</v>
      </c>
      <c r="G457" s="4">
        <v>61.3</v>
      </c>
      <c r="H457" s="17">
        <v>2.9251959006963068E-3</v>
      </c>
      <c r="I457" s="17">
        <v>2.9251959006963068E-3</v>
      </c>
      <c r="J457" s="3">
        <v>4.6757536601432503E-3</v>
      </c>
      <c r="K457" s="3">
        <v>7.0136304902148755E-3</v>
      </c>
      <c r="L457" s="3">
        <v>2</v>
      </c>
      <c r="N457" s="5">
        <v>456</v>
      </c>
      <c r="O457" s="18"/>
      <c r="P457" s="17"/>
    </row>
    <row r="458" spans="1:19" x14ac:dyDescent="0.35">
      <c r="A458" s="3" t="s">
        <v>1330</v>
      </c>
      <c r="B458" s="3" t="s">
        <v>844</v>
      </c>
      <c r="C458" s="3" t="s">
        <v>819</v>
      </c>
      <c r="G458" s="4">
        <v>7.1</v>
      </c>
      <c r="H458" s="17">
        <v>2.1750894425561071E-3</v>
      </c>
      <c r="I458" s="17">
        <v>2.1750894425561071E-3</v>
      </c>
      <c r="J458" s="3">
        <f>I458*0.1</f>
        <v>2.1750894425561071E-4</v>
      </c>
      <c r="K458" s="3">
        <f>I458*10</f>
        <v>2.1750894425561072E-2</v>
      </c>
      <c r="L458" s="3">
        <v>2</v>
      </c>
      <c r="N458" s="5">
        <v>457</v>
      </c>
      <c r="O458" s="18"/>
      <c r="P458" s="17"/>
    </row>
    <row r="459" spans="1:19" x14ac:dyDescent="0.35">
      <c r="A459" s="3" t="s">
        <v>1331</v>
      </c>
      <c r="B459" s="3" t="s">
        <v>844</v>
      </c>
      <c r="C459" s="3" t="s">
        <v>818</v>
      </c>
      <c r="D459" s="3">
        <v>47.5</v>
      </c>
      <c r="E459" s="3">
        <v>47.5</v>
      </c>
      <c r="F459" s="3">
        <v>47.5</v>
      </c>
      <c r="G459" s="4">
        <v>47.5</v>
      </c>
      <c r="H459" s="17">
        <v>4.2069727157994464E-3</v>
      </c>
      <c r="I459" s="17">
        <v>4.2069727157994464E-3</v>
      </c>
      <c r="J459" s="3">
        <v>6.675356045963564E-3</v>
      </c>
      <c r="K459" s="3">
        <v>1.0013034068945345E-2</v>
      </c>
      <c r="L459" s="3">
        <v>2</v>
      </c>
      <c r="N459" s="5">
        <v>458</v>
      </c>
      <c r="O459" s="18"/>
      <c r="P459" s="17"/>
    </row>
    <row r="460" spans="1:19" x14ac:dyDescent="0.35">
      <c r="A460" s="3" t="s">
        <v>1332</v>
      </c>
      <c r="B460" s="3" t="s">
        <v>845</v>
      </c>
      <c r="C460" s="3" t="s">
        <v>820</v>
      </c>
      <c r="G460" s="4">
        <v>2.6099999999999981</v>
      </c>
      <c r="H460" s="17">
        <v>3.9334016545198571E-3</v>
      </c>
      <c r="I460" s="17">
        <v>3.9334016545198571E-3</v>
      </c>
      <c r="J460" s="3">
        <v>3.1467213236158857E-3</v>
      </c>
      <c r="K460" s="3">
        <v>4.7200819854238286E-3</v>
      </c>
      <c r="L460" s="3">
        <v>2</v>
      </c>
      <c r="N460" s="5">
        <v>459</v>
      </c>
      <c r="O460" s="18"/>
      <c r="P460" s="17"/>
    </row>
    <row r="461" spans="1:19" x14ac:dyDescent="0.35">
      <c r="A461" s="3" t="s">
        <v>1333</v>
      </c>
      <c r="B461" s="3" t="s">
        <v>845</v>
      </c>
      <c r="C461" s="3" t="s">
        <v>844</v>
      </c>
      <c r="D461" s="3">
        <v>54.6</v>
      </c>
      <c r="E461" s="3">
        <v>54.6</v>
      </c>
      <c r="F461" s="3">
        <v>54.6</v>
      </c>
      <c r="G461" s="4">
        <v>54.6</v>
      </c>
      <c r="H461" s="17">
        <v>3.5671521614797732E-3</v>
      </c>
      <c r="I461" s="17">
        <v>3.5671521614797732E-3</v>
      </c>
      <c r="J461" s="3">
        <v>5.6003304641717667E-3</v>
      </c>
      <c r="K461" s="3">
        <v>8.4004956962576496E-3</v>
      </c>
      <c r="L461" s="3">
        <v>2</v>
      </c>
      <c r="N461" s="5">
        <v>460</v>
      </c>
      <c r="O461" s="18"/>
      <c r="P461" s="17"/>
    </row>
    <row r="462" spans="1:19" x14ac:dyDescent="0.35">
      <c r="A462" s="3" t="s">
        <v>1334</v>
      </c>
      <c r="B462" s="3" t="s">
        <v>846</v>
      </c>
      <c r="C462" s="3" t="s">
        <v>821</v>
      </c>
      <c r="G462" s="4">
        <v>3.199999999999994</v>
      </c>
      <c r="H462" s="17">
        <v>3.9461716519231197E-3</v>
      </c>
      <c r="I462" s="17">
        <v>3.9461716519231197E-3</v>
      </c>
      <c r="J462" s="3">
        <v>3.1569373215384958E-3</v>
      </c>
      <c r="K462" s="3">
        <v>4.7354059823077436E-3</v>
      </c>
      <c r="L462" s="3">
        <v>2</v>
      </c>
      <c r="N462" s="5">
        <v>461</v>
      </c>
      <c r="O462" s="18"/>
      <c r="P462" s="17"/>
    </row>
    <row r="463" spans="1:19" x14ac:dyDescent="0.35">
      <c r="A463" s="3" t="s">
        <v>1335</v>
      </c>
      <c r="B463" s="3" t="s">
        <v>846</v>
      </c>
      <c r="C463" s="3" t="s">
        <v>845</v>
      </c>
      <c r="D463" s="3">
        <v>57.21</v>
      </c>
      <c r="E463" s="3">
        <v>57.21</v>
      </c>
      <c r="F463" s="3">
        <v>57.21</v>
      </c>
      <c r="G463" s="4">
        <v>57.21</v>
      </c>
      <c r="H463" s="17">
        <v>3.384531768024369E-3</v>
      </c>
      <c r="I463" s="17">
        <v>3.384531768024369E-3</v>
      </c>
      <c r="J463" s="3">
        <v>5.3901359127267361E-3</v>
      </c>
      <c r="K463" s="3">
        <v>8.0852038690901028E-3</v>
      </c>
      <c r="L463" s="3">
        <v>2</v>
      </c>
      <c r="N463" s="5">
        <v>462</v>
      </c>
      <c r="O463" s="18"/>
      <c r="P463" s="17"/>
    </row>
    <row r="464" spans="1:19" x14ac:dyDescent="0.35">
      <c r="A464" s="3" t="s">
        <v>1336</v>
      </c>
      <c r="B464" s="3" t="s">
        <v>847</v>
      </c>
      <c r="C464" s="3" t="s">
        <v>822</v>
      </c>
      <c r="G464" s="4">
        <v>0.1</v>
      </c>
      <c r="H464" s="17">
        <v>3.9461296596505126E-3</v>
      </c>
      <c r="I464" s="17">
        <v>3.9461296596505126E-3</v>
      </c>
      <c r="J464" s="3">
        <v>3.1569037277204104E-3</v>
      </c>
      <c r="K464" s="3">
        <v>4.7353555915806153E-3</v>
      </c>
      <c r="L464" s="3">
        <v>2</v>
      </c>
      <c r="N464" s="5">
        <v>463</v>
      </c>
      <c r="O464" s="18"/>
      <c r="P464" s="17"/>
    </row>
    <row r="465" spans="1:16" x14ac:dyDescent="0.35">
      <c r="A465" s="3" t="s">
        <v>1337</v>
      </c>
      <c r="B465" s="3" t="s">
        <v>847</v>
      </c>
      <c r="C465" s="3" t="s">
        <v>846</v>
      </c>
      <c r="D465" s="3">
        <v>60.41</v>
      </c>
      <c r="E465" s="3">
        <v>60.41</v>
      </c>
      <c r="F465" s="3">
        <v>60.41</v>
      </c>
      <c r="G465" s="4">
        <v>60.41</v>
      </c>
      <c r="H465" s="17">
        <v>2.1743866928837698E-3</v>
      </c>
      <c r="I465" s="17">
        <v>2.1743866928837698E-3</v>
      </c>
      <c r="J465" s="3">
        <v>3.474235985565228E-3</v>
      </c>
      <c r="K465" s="3">
        <v>5.2113539783478413E-3</v>
      </c>
      <c r="L465" s="3">
        <v>2</v>
      </c>
      <c r="N465" s="5">
        <v>464</v>
      </c>
      <c r="O465" s="18"/>
      <c r="P465" s="17"/>
    </row>
    <row r="466" spans="1:16" x14ac:dyDescent="0.35">
      <c r="A466" s="3" t="s">
        <v>1338</v>
      </c>
      <c r="B466" s="3" t="s">
        <v>848</v>
      </c>
      <c r="C466" s="3" t="s">
        <v>823</v>
      </c>
      <c r="G466" s="4">
        <v>0.1</v>
      </c>
      <c r="H466" s="17">
        <v>1.016596358989845E-3</v>
      </c>
      <c r="I466" s="17">
        <v>1.016596358989845E-3</v>
      </c>
      <c r="J466" s="3">
        <v>8.1327708719187606E-4</v>
      </c>
      <c r="K466" s="3">
        <v>1.2199156307878139E-3</v>
      </c>
      <c r="L466" s="3">
        <v>2</v>
      </c>
      <c r="N466" s="5">
        <v>465</v>
      </c>
      <c r="O466" s="18"/>
      <c r="P466" s="17"/>
    </row>
    <row r="467" spans="1:16" x14ac:dyDescent="0.35">
      <c r="A467" s="3" t="s">
        <v>1339</v>
      </c>
      <c r="B467" s="3" t="s">
        <v>848</v>
      </c>
      <c r="C467" s="3" t="s">
        <v>847</v>
      </c>
      <c r="G467" s="4">
        <v>60.510000000000012</v>
      </c>
      <c r="H467" s="17">
        <v>2.5139687082520079E-3</v>
      </c>
      <c r="I467" s="17">
        <v>2.5139687082520079E-3</v>
      </c>
      <c r="J467" s="3">
        <v>2.5509460923799337E-3</v>
      </c>
      <c r="K467" s="3">
        <v>3.8264191385699005E-3</v>
      </c>
      <c r="L467" s="3">
        <v>2</v>
      </c>
      <c r="N467" s="5">
        <v>466</v>
      </c>
      <c r="O467" s="18"/>
      <c r="P467" s="17"/>
    </row>
    <row r="468" spans="1:16" x14ac:dyDescent="0.35">
      <c r="A468" s="3" t="s">
        <v>1340</v>
      </c>
      <c r="B468" s="3" t="s">
        <v>849</v>
      </c>
      <c r="C468" s="3" t="s">
        <v>824</v>
      </c>
      <c r="G468" s="4">
        <v>0.1</v>
      </c>
      <c r="H468" s="17">
        <v>1.0166572303322639E-3</v>
      </c>
      <c r="I468" s="17">
        <v>1.0166572303322639E-3</v>
      </c>
      <c r="J468" s="3">
        <v>6.2303536319400924E-4</v>
      </c>
      <c r="K468" s="3">
        <v>9.3455304479101364E-4</v>
      </c>
      <c r="L468" s="3">
        <v>2</v>
      </c>
      <c r="N468" s="5">
        <v>467</v>
      </c>
      <c r="O468" s="18"/>
      <c r="P468" s="17"/>
    </row>
    <row r="469" spans="1:16" x14ac:dyDescent="0.35">
      <c r="A469" s="3" t="s">
        <v>1341</v>
      </c>
      <c r="B469" s="3" t="s">
        <v>849</v>
      </c>
      <c r="C469" s="3" t="s">
        <v>848</v>
      </c>
      <c r="G469" s="4">
        <v>60.610000000000007</v>
      </c>
      <c r="H469" s="17">
        <v>3.76333557869549E-3</v>
      </c>
      <c r="I469" s="17">
        <v>3.76333557869549E-3</v>
      </c>
      <c r="J469" s="3">
        <v>5.929194658916323E-3</v>
      </c>
      <c r="K469" s="3">
        <v>8.8937919883744828E-3</v>
      </c>
      <c r="L469" s="3">
        <v>2</v>
      </c>
      <c r="N469" s="5">
        <v>468</v>
      </c>
      <c r="O469" s="18"/>
      <c r="P469" s="17"/>
    </row>
    <row r="470" spans="1:16" x14ac:dyDescent="0.35">
      <c r="A470" s="3" t="s">
        <v>1342</v>
      </c>
      <c r="B470" s="3" t="s">
        <v>850</v>
      </c>
      <c r="C470" s="3" t="s">
        <v>825</v>
      </c>
      <c r="G470" s="4">
        <v>0.1</v>
      </c>
      <c r="H470" s="17">
        <v>1.0145314520046589E-3</v>
      </c>
      <c r="I470" s="17">
        <v>1.0145314520046589E-3</v>
      </c>
      <c r="J470" s="3">
        <v>4.1396985409319323E-4</v>
      </c>
      <c r="K470" s="3">
        <v>6.2095478113978974E-4</v>
      </c>
      <c r="L470" s="3">
        <v>2</v>
      </c>
      <c r="N470" s="5">
        <v>469</v>
      </c>
      <c r="O470" s="18"/>
      <c r="P470" s="17"/>
    </row>
    <row r="471" spans="1:16" x14ac:dyDescent="0.35">
      <c r="A471" s="3" t="s">
        <v>1343</v>
      </c>
      <c r="B471" s="3" t="s">
        <v>850</v>
      </c>
      <c r="C471" s="3" t="s">
        <v>849</v>
      </c>
      <c r="G471" s="4">
        <v>60.710000000000008</v>
      </c>
      <c r="H471" s="17">
        <v>2.2222873609175041E-3</v>
      </c>
      <c r="I471" s="17">
        <v>2.2222873609175041E-3</v>
      </c>
      <c r="J471" s="3">
        <v>3.4075940024868336E-3</v>
      </c>
      <c r="K471" s="3">
        <v>5.1113910037302503E-3</v>
      </c>
      <c r="L471" s="3">
        <v>2</v>
      </c>
      <c r="N471" s="5">
        <v>470</v>
      </c>
      <c r="O471" s="18"/>
      <c r="P471" s="17"/>
    </row>
    <row r="472" spans="1:16" x14ac:dyDescent="0.35">
      <c r="A472" s="3" t="s">
        <v>1344</v>
      </c>
      <c r="B472" s="3" t="s">
        <v>827</v>
      </c>
      <c r="C472" s="3" t="s">
        <v>850</v>
      </c>
      <c r="G472" s="4">
        <v>60.81</v>
      </c>
      <c r="H472" s="17">
        <v>3.322152265410792E-3</v>
      </c>
      <c r="I472" s="17">
        <v>3.322152265410792E-3</v>
      </c>
      <c r="J472" s="3">
        <v>5.2072956472160696E-3</v>
      </c>
      <c r="K472" s="3">
        <v>7.8109434708241044E-3</v>
      </c>
      <c r="L472" s="3">
        <v>2</v>
      </c>
      <c r="N472" s="5">
        <v>471</v>
      </c>
      <c r="O472" s="18"/>
      <c r="P472" s="17"/>
    </row>
    <row r="473" spans="1:16" x14ac:dyDescent="0.35">
      <c r="A473" s="3" t="s">
        <v>1345</v>
      </c>
      <c r="B473" s="3" t="s">
        <v>851</v>
      </c>
      <c r="C473" s="3" t="s">
        <v>828</v>
      </c>
      <c r="G473" s="4">
        <v>3.979999999999996</v>
      </c>
      <c r="H473" s="17">
        <v>1.015159104075953E-3</v>
      </c>
      <c r="I473" s="17">
        <v>1.015159104075953E-3</v>
      </c>
      <c r="J473" s="3">
        <v>8.1212728326076245E-4</v>
      </c>
      <c r="K473" s="3">
        <v>1.2181909248911436E-3</v>
      </c>
      <c r="L473" s="3">
        <v>2</v>
      </c>
      <c r="N473" s="5">
        <v>472</v>
      </c>
      <c r="O473" s="18"/>
      <c r="P473" s="17"/>
    </row>
    <row r="474" spans="1:16" x14ac:dyDescent="0.35">
      <c r="A474" s="3" t="s">
        <v>1346</v>
      </c>
      <c r="B474" s="3" t="s">
        <v>851</v>
      </c>
      <c r="C474" s="3" t="s">
        <v>827</v>
      </c>
      <c r="D474" s="3">
        <v>47.08</v>
      </c>
      <c r="E474" s="3">
        <v>47.08</v>
      </c>
      <c r="F474" s="3">
        <v>47.08</v>
      </c>
      <c r="G474" s="4">
        <v>47.08</v>
      </c>
      <c r="H474" s="17">
        <v>2.7446251622679448E-3</v>
      </c>
      <c r="I474" s="17">
        <v>2.7446251622679448E-3</v>
      </c>
      <c r="J474" s="3">
        <v>2.3892598847284844E-3</v>
      </c>
      <c r="K474" s="3">
        <v>3.5838898270927257E-3</v>
      </c>
      <c r="L474" s="3">
        <v>2</v>
      </c>
      <c r="N474" s="5">
        <v>473</v>
      </c>
      <c r="O474" s="18"/>
      <c r="P474" s="17"/>
    </row>
    <row r="475" spans="1:16" x14ac:dyDescent="0.35">
      <c r="A475" s="3" t="s">
        <v>1347</v>
      </c>
      <c r="B475" s="3" t="s">
        <v>852</v>
      </c>
      <c r="C475" s="3" t="s">
        <v>829</v>
      </c>
      <c r="G475" s="4">
        <v>0.1</v>
      </c>
      <c r="H475" s="17">
        <v>1.0151792188694999E-3</v>
      </c>
      <c r="I475" s="17">
        <v>1.0151792188694999E-3</v>
      </c>
      <c r="J475" s="3">
        <v>6.6978021161601467E-4</v>
      </c>
      <c r="K475" s="3">
        <v>1.0046703174240218E-3</v>
      </c>
      <c r="L475" s="3">
        <v>2</v>
      </c>
      <c r="N475" s="5">
        <v>474</v>
      </c>
      <c r="O475" s="18"/>
      <c r="P475" s="17"/>
    </row>
    <row r="476" spans="1:16" x14ac:dyDescent="0.35">
      <c r="A476" s="3" t="s">
        <v>1348</v>
      </c>
      <c r="B476" s="3" t="s">
        <v>852</v>
      </c>
      <c r="C476" s="3" t="s">
        <v>851</v>
      </c>
      <c r="G476" s="4">
        <v>51.06</v>
      </c>
      <c r="H476" s="17">
        <v>2.847238595125283E-3</v>
      </c>
      <c r="I476" s="17">
        <v>2.847238595125283E-3</v>
      </c>
      <c r="J476" s="3">
        <v>4.5450330431873499E-3</v>
      </c>
      <c r="K476" s="3">
        <v>6.8175495647810249E-3</v>
      </c>
      <c r="L476" s="3">
        <v>2</v>
      </c>
      <c r="N476" s="5">
        <v>475</v>
      </c>
      <c r="O476" s="18"/>
      <c r="P476" s="17"/>
    </row>
    <row r="477" spans="1:16" x14ac:dyDescent="0.35">
      <c r="A477" s="3" t="s">
        <v>1349</v>
      </c>
      <c r="B477" s="3" t="s">
        <v>853</v>
      </c>
      <c r="C477" s="3" t="s">
        <v>830</v>
      </c>
      <c r="G477" s="4">
        <v>0.1</v>
      </c>
      <c r="H477" s="17">
        <v>1.012952980705253E-3</v>
      </c>
      <c r="I477" s="17">
        <v>1.012952980705253E-3</v>
      </c>
      <c r="J477" s="3">
        <v>8.1036238456420244E-4</v>
      </c>
      <c r="K477" s="3">
        <v>1.2155435768463035E-3</v>
      </c>
      <c r="L477" s="3">
        <v>2</v>
      </c>
      <c r="N477" s="5">
        <v>476</v>
      </c>
      <c r="O477" s="18"/>
      <c r="P477" s="17"/>
    </row>
    <row r="478" spans="1:16" x14ac:dyDescent="0.35">
      <c r="A478" s="3" t="s">
        <v>1350</v>
      </c>
      <c r="B478" s="3" t="s">
        <v>853</v>
      </c>
      <c r="C478" s="3" t="s">
        <v>852</v>
      </c>
      <c r="G478" s="4">
        <v>51.16</v>
      </c>
      <c r="H478" s="17">
        <v>4.1766134502265601E-3</v>
      </c>
      <c r="I478" s="17">
        <v>4.1766134502265601E-3</v>
      </c>
      <c r="J478" s="3">
        <v>6.6496930154306341E-3</v>
      </c>
      <c r="K478" s="3">
        <v>9.9745395231459512E-3</v>
      </c>
      <c r="L478" s="3">
        <v>2</v>
      </c>
      <c r="N478" s="5">
        <v>477</v>
      </c>
      <c r="O478" s="18"/>
      <c r="P478" s="17"/>
    </row>
    <row r="479" spans="1:16" x14ac:dyDescent="0.35">
      <c r="A479" s="3" t="s">
        <v>1351</v>
      </c>
      <c r="B479" s="3" t="s">
        <v>854</v>
      </c>
      <c r="C479" s="3" t="s">
        <v>831</v>
      </c>
      <c r="G479" s="4">
        <v>103.7499999999998</v>
      </c>
      <c r="H479" s="19">
        <v>1.0132192873732689E-3</v>
      </c>
      <c r="I479" s="19">
        <v>1.0132192873732689E-3</v>
      </c>
      <c r="J479" s="3">
        <v>5.2727175191050895E-4</v>
      </c>
      <c r="K479" s="3">
        <v>2.0264385747465379E-3</v>
      </c>
      <c r="L479" s="3">
        <v>2</v>
      </c>
      <c r="N479" s="5">
        <v>478</v>
      </c>
      <c r="O479" s="18"/>
      <c r="P479" s="17"/>
    </row>
    <row r="480" spans="1:16" x14ac:dyDescent="0.35">
      <c r="A480" s="3" t="s">
        <v>1352</v>
      </c>
      <c r="B480" s="3" t="s">
        <v>854</v>
      </c>
      <c r="C480" s="3" t="s">
        <v>853</v>
      </c>
      <c r="D480" s="3">
        <v>51.26</v>
      </c>
      <c r="E480" s="3">
        <v>51.26</v>
      </c>
      <c r="F480" s="3">
        <v>51.26</v>
      </c>
      <c r="G480" s="4">
        <v>51.26</v>
      </c>
      <c r="H480" s="17">
        <v>1.4041701831948379E-3</v>
      </c>
      <c r="I480" s="17">
        <v>1.4041701831948379E-3</v>
      </c>
      <c r="J480" s="3">
        <v>2.175678024080033E-3</v>
      </c>
      <c r="K480" s="3">
        <v>3.2635170361200489E-3</v>
      </c>
      <c r="L480" s="3">
        <v>2</v>
      </c>
      <c r="N480" s="5">
        <v>479</v>
      </c>
      <c r="O480" s="18"/>
      <c r="P480" s="17"/>
    </row>
    <row r="481" spans="1:16" x14ac:dyDescent="0.35">
      <c r="A481" s="3" t="s">
        <v>1353</v>
      </c>
      <c r="B481" s="3" t="s">
        <v>855</v>
      </c>
      <c r="C481" s="3" t="s">
        <v>832</v>
      </c>
      <c r="G481" s="4">
        <v>3.19</v>
      </c>
      <c r="H481" s="17">
        <v>1.0135573778098849E-3</v>
      </c>
      <c r="I481" s="17">
        <v>1.0135573778098849E-3</v>
      </c>
      <c r="J481" s="3">
        <v>8.1084590224790804E-4</v>
      </c>
      <c r="K481" s="3">
        <v>1.2162688533718618E-3</v>
      </c>
      <c r="L481" s="3">
        <v>2</v>
      </c>
      <c r="N481" s="5">
        <v>480</v>
      </c>
      <c r="O481" s="18"/>
      <c r="P481" s="17"/>
    </row>
    <row r="482" spans="1:16" x14ac:dyDescent="0.35">
      <c r="A482" s="3" t="s">
        <v>1354</v>
      </c>
      <c r="B482" s="3" t="s">
        <v>855</v>
      </c>
      <c r="C482" s="3" t="s">
        <v>854</v>
      </c>
      <c r="D482" s="3">
        <v>19.899999999999999</v>
      </c>
      <c r="E482" s="3">
        <v>19.899999999999999</v>
      </c>
      <c r="F482" s="3">
        <v>19.899999999999999</v>
      </c>
      <c r="G482" s="4">
        <v>19.899999999999999</v>
      </c>
      <c r="H482" s="19">
        <v>3.2904686169947452E-3</v>
      </c>
      <c r="I482" s="19">
        <v>3.2904686169947452E-3</v>
      </c>
      <c r="J482" s="3">
        <v>2.3620528545484827E-3</v>
      </c>
      <c r="K482" s="3">
        <v>3.5430792818227238E-3</v>
      </c>
      <c r="L482" s="3">
        <v>2</v>
      </c>
      <c r="N482" s="5">
        <v>481</v>
      </c>
      <c r="O482" s="18"/>
      <c r="P482" s="17"/>
    </row>
    <row r="483" spans="1:16" x14ac:dyDescent="0.35">
      <c r="A483" s="3" t="s">
        <v>1355</v>
      </c>
      <c r="B483" s="3" t="s">
        <v>856</v>
      </c>
      <c r="C483" s="3" t="s">
        <v>833</v>
      </c>
      <c r="G483" s="4">
        <v>1.900000000000001</v>
      </c>
      <c r="H483" s="17">
        <v>1.423908769937815E-2</v>
      </c>
      <c r="I483" s="17">
        <v>1.423908769937815E-2</v>
      </c>
      <c r="J483" s="3">
        <v>5.9781470163004259E-3</v>
      </c>
      <c r="K483" s="3">
        <v>8.9672205244506389E-3</v>
      </c>
      <c r="L483" s="3">
        <v>2</v>
      </c>
      <c r="N483" s="5">
        <v>482</v>
      </c>
      <c r="O483" s="18"/>
      <c r="P483" s="17"/>
    </row>
    <row r="484" spans="1:16" x14ac:dyDescent="0.35">
      <c r="A484" s="3" t="s">
        <v>1356</v>
      </c>
      <c r="B484" s="3" t="s">
        <v>856</v>
      </c>
      <c r="C484" s="3" t="s">
        <v>855</v>
      </c>
      <c r="D484" s="3">
        <v>23.09</v>
      </c>
      <c r="E484" s="3">
        <v>23.09</v>
      </c>
      <c r="F484" s="3">
        <v>23.09</v>
      </c>
      <c r="G484" s="4">
        <v>23.09</v>
      </c>
      <c r="H484" s="17">
        <v>4.2225243884165984E-3</v>
      </c>
      <c r="I484" s="17">
        <v>4.2225243884165984E-3</v>
      </c>
      <c r="J484" s="3">
        <v>2.0789588164907848E-3</v>
      </c>
      <c r="K484" s="3">
        <v>3.1184382247361774E-3</v>
      </c>
      <c r="L484" s="3">
        <v>2</v>
      </c>
      <c r="N484" s="5">
        <v>483</v>
      </c>
      <c r="O484" s="18"/>
      <c r="P484" s="17"/>
    </row>
    <row r="485" spans="1:16" x14ac:dyDescent="0.35">
      <c r="A485" s="3" t="s">
        <v>1357</v>
      </c>
      <c r="B485" s="3" t="s">
        <v>857</v>
      </c>
      <c r="C485" s="3" t="s">
        <v>856</v>
      </c>
      <c r="G485" s="4">
        <v>24.99</v>
      </c>
      <c r="H485" s="17">
        <v>8.6013653248286515E-4</v>
      </c>
      <c r="I485" s="17">
        <v>8.6013653248286515E-4</v>
      </c>
      <c r="J485" s="3">
        <f>I485*0.1</f>
        <v>8.6013653248286523E-5</v>
      </c>
      <c r="K485" s="3">
        <f>I485*10</f>
        <v>8.6013653248286515E-3</v>
      </c>
      <c r="L485" s="3">
        <v>2</v>
      </c>
      <c r="N485" s="5">
        <v>484</v>
      </c>
      <c r="O485" s="18"/>
      <c r="P485" s="17"/>
    </row>
    <row r="486" spans="1:16" x14ac:dyDescent="0.35">
      <c r="A486" s="3" t="s">
        <v>1358</v>
      </c>
      <c r="B486" s="3" t="s">
        <v>857</v>
      </c>
      <c r="C486" s="3" t="s">
        <v>858</v>
      </c>
      <c r="D486" s="3">
        <v>12.14</v>
      </c>
      <c r="E486" s="3">
        <v>12.14</v>
      </c>
      <c r="F486" s="3">
        <v>12.14</v>
      </c>
      <c r="G486" s="4">
        <v>12.14</v>
      </c>
      <c r="H486" s="17">
        <v>1.115056282291753E-3</v>
      </c>
      <c r="I486" s="17">
        <v>1.115056282291753E-3</v>
      </c>
      <c r="J486" s="3">
        <v>8.9204502583340242E-4</v>
      </c>
      <c r="K486" s="3">
        <v>1.3380675387501036E-3</v>
      </c>
      <c r="L486" s="3">
        <v>2</v>
      </c>
      <c r="N486" s="5">
        <v>485</v>
      </c>
      <c r="O486" s="18"/>
      <c r="P486" s="17"/>
    </row>
    <row r="487" spans="1:16" x14ac:dyDescent="0.35">
      <c r="A487" s="3" t="s">
        <v>1359</v>
      </c>
      <c r="B487" s="3" t="s">
        <v>858</v>
      </c>
      <c r="C487" s="3" t="s">
        <v>834</v>
      </c>
      <c r="G487" s="4">
        <v>0.1</v>
      </c>
      <c r="H487" s="17">
        <v>1.421846257905981E-2</v>
      </c>
      <c r="I487" s="17">
        <v>1.421846257905981E-2</v>
      </c>
      <c r="J487" s="3">
        <v>1.0125707948796256E-2</v>
      </c>
      <c r="K487" s="3">
        <v>1.5188561923194384E-2</v>
      </c>
      <c r="L487" s="3">
        <v>2</v>
      </c>
      <c r="N487" s="5">
        <v>486</v>
      </c>
      <c r="O487" s="18"/>
      <c r="P487" s="17"/>
    </row>
    <row r="488" spans="1:16" x14ac:dyDescent="0.35">
      <c r="A488" s="3" t="s">
        <v>1360</v>
      </c>
      <c r="B488" s="3" t="s">
        <v>858</v>
      </c>
      <c r="C488" s="3" t="s">
        <v>859</v>
      </c>
      <c r="G488" s="4">
        <v>12.04</v>
      </c>
      <c r="H488" s="17">
        <v>7.5251471503248492E-3</v>
      </c>
      <c r="I488" s="17">
        <v>7.5251471503248492E-3</v>
      </c>
      <c r="J488" s="3">
        <v>6.0201177202598797E-3</v>
      </c>
      <c r="K488" s="3">
        <v>9.0301765803898187E-3</v>
      </c>
      <c r="L488" s="3">
        <v>2</v>
      </c>
      <c r="N488" s="5">
        <v>487</v>
      </c>
      <c r="O488" s="18"/>
      <c r="P488" s="17"/>
    </row>
    <row r="489" spans="1:16" x14ac:dyDescent="0.35">
      <c r="A489" s="3" t="s">
        <v>1361</v>
      </c>
      <c r="B489" s="3" t="s">
        <v>860</v>
      </c>
      <c r="C489" s="3" t="s">
        <v>835</v>
      </c>
      <c r="G489" s="4">
        <v>0.1</v>
      </c>
      <c r="H489" s="17">
        <v>8.2314298511240551E-3</v>
      </c>
      <c r="I489" s="17">
        <v>8.2314298511240551E-3</v>
      </c>
      <c r="J489" s="3">
        <v>6.5851438808992441E-3</v>
      </c>
      <c r="K489" s="3">
        <v>9.8777158213488661E-3</v>
      </c>
      <c r="L489" s="3">
        <v>2</v>
      </c>
      <c r="N489" s="5">
        <v>488</v>
      </c>
      <c r="O489" s="18"/>
      <c r="P489" s="17"/>
    </row>
    <row r="490" spans="1:16" x14ac:dyDescent="0.35">
      <c r="A490" s="3" t="s">
        <v>1362</v>
      </c>
      <c r="B490" s="3" t="s">
        <v>860</v>
      </c>
      <c r="C490" s="3" t="s">
        <v>838</v>
      </c>
      <c r="G490" s="4">
        <v>11.84</v>
      </c>
      <c r="H490" s="19">
        <v>2.8982759117247661E-3</v>
      </c>
      <c r="I490" s="19">
        <v>2.8982759117247661E-3</v>
      </c>
      <c r="J490" s="3">
        <v>1.2463981500143201E-3</v>
      </c>
      <c r="K490" s="3">
        <v>1.8695972250214799E-3</v>
      </c>
      <c r="L490" s="3">
        <v>2</v>
      </c>
      <c r="N490" s="5">
        <v>489</v>
      </c>
      <c r="O490" s="18"/>
      <c r="P490" s="17"/>
    </row>
    <row r="491" spans="1:16" x14ac:dyDescent="0.35">
      <c r="A491" s="3" t="s">
        <v>1363</v>
      </c>
      <c r="B491" s="3" t="s">
        <v>838</v>
      </c>
      <c r="C491" s="3" t="s">
        <v>861</v>
      </c>
      <c r="G491" s="4">
        <v>56.48</v>
      </c>
      <c r="H491" s="17">
        <v>3.7813953733217432E-3</v>
      </c>
      <c r="I491" s="17">
        <v>3.7813953733217432E-3</v>
      </c>
      <c r="J491" s="3">
        <v>8.4272498111244627E-4</v>
      </c>
      <c r="K491" s="3">
        <v>1.2640874716686693E-3</v>
      </c>
      <c r="L491" s="3">
        <v>2</v>
      </c>
      <c r="N491" s="5">
        <v>490</v>
      </c>
      <c r="O491" s="18"/>
      <c r="P491" s="17"/>
    </row>
    <row r="492" spans="1:16" x14ac:dyDescent="0.35">
      <c r="A492" s="3" t="s">
        <v>1364</v>
      </c>
      <c r="B492" s="3" t="s">
        <v>861</v>
      </c>
      <c r="C492" s="3" t="s">
        <v>837</v>
      </c>
      <c r="G492" s="4">
        <v>0.1</v>
      </c>
      <c r="H492" s="17">
        <v>1.1602097087092721E-2</v>
      </c>
      <c r="I492" s="17">
        <v>1.1602097087092721E-2</v>
      </c>
      <c r="J492" s="3">
        <v>9.6431983188219449E-3</v>
      </c>
      <c r="K492" s="3">
        <v>1.4464797478232915E-2</v>
      </c>
      <c r="L492" s="3">
        <v>2</v>
      </c>
      <c r="N492" s="5">
        <v>491</v>
      </c>
      <c r="O492" s="18"/>
      <c r="P492" s="17"/>
    </row>
    <row r="493" spans="1:16" x14ac:dyDescent="0.35">
      <c r="A493" s="3" t="s">
        <v>1365</v>
      </c>
      <c r="B493" s="3" t="s">
        <v>861</v>
      </c>
      <c r="C493" s="3" t="s">
        <v>862</v>
      </c>
      <c r="G493" s="4">
        <v>56.38</v>
      </c>
      <c r="H493" s="19">
        <v>1.5911033133576211E-3</v>
      </c>
      <c r="I493" s="19">
        <v>1.5911033133576211E-3</v>
      </c>
      <c r="J493" s="3">
        <v>8.2880355904084652E-4</v>
      </c>
      <c r="K493" s="3">
        <v>1.2432053385612696E-3</v>
      </c>
      <c r="L493" s="3">
        <v>2</v>
      </c>
      <c r="N493" s="5">
        <v>492</v>
      </c>
      <c r="O493" s="18"/>
      <c r="P493" s="17"/>
    </row>
    <row r="494" spans="1:16" x14ac:dyDescent="0.35">
      <c r="A494" s="34" t="s">
        <v>1366</v>
      </c>
      <c r="B494" s="34" t="s">
        <v>862</v>
      </c>
      <c r="C494" s="34" t="s">
        <v>839</v>
      </c>
      <c r="D494" s="34"/>
      <c r="E494" s="34"/>
      <c r="F494" s="34"/>
      <c r="G494" s="11">
        <v>0.1</v>
      </c>
      <c r="H494" s="36">
        <v>1.164194082006441E-2</v>
      </c>
      <c r="I494" s="36">
        <v>1.164194082006441E-2</v>
      </c>
      <c r="J494" s="34">
        <v>7.0451604756981466E-3</v>
      </c>
      <c r="K494" s="34">
        <v>1.0567740713547219E-2</v>
      </c>
      <c r="L494" s="34">
        <v>2</v>
      </c>
      <c r="M494" s="34" t="s">
        <v>2088</v>
      </c>
      <c r="N494" s="37">
        <v>493</v>
      </c>
      <c r="O494" s="18"/>
      <c r="P494" s="17"/>
    </row>
    <row r="495" spans="1:16" x14ac:dyDescent="0.35">
      <c r="A495" s="3" t="s">
        <v>1367</v>
      </c>
      <c r="B495" s="3" t="s">
        <v>863</v>
      </c>
      <c r="C495" s="3" t="s">
        <v>840</v>
      </c>
      <c r="G495" s="4">
        <v>0.1</v>
      </c>
      <c r="H495" s="19">
        <v>1.130934526247286E-2</v>
      </c>
      <c r="I495" s="19">
        <v>1.130934526247286E-2</v>
      </c>
      <c r="J495" s="3">
        <v>5.3422777180295832E-3</v>
      </c>
      <c r="K495" s="3">
        <v>8.0134165770443747E-3</v>
      </c>
      <c r="L495" s="3">
        <v>2</v>
      </c>
      <c r="N495" s="5">
        <v>494</v>
      </c>
      <c r="O495" s="18"/>
      <c r="P495" s="17"/>
    </row>
    <row r="496" spans="1:16" x14ac:dyDescent="0.35">
      <c r="A496" s="3" t="s">
        <v>1368</v>
      </c>
      <c r="B496" s="3" t="s">
        <v>446</v>
      </c>
      <c r="C496" s="3" t="s">
        <v>864</v>
      </c>
      <c r="G496" s="4">
        <v>122.4399999999999</v>
      </c>
      <c r="H496" s="19">
        <v>6.7370608577975541E-4</v>
      </c>
      <c r="I496" s="19">
        <v>6.7370608577975541E-4</v>
      </c>
      <c r="J496" s="3">
        <f>I496*0.8</f>
        <v>5.3896486862380435E-4</v>
      </c>
      <c r="K496" s="3">
        <f>I496*1.2</f>
        <v>8.0844730293570647E-4</v>
      </c>
      <c r="L496" s="3">
        <v>2</v>
      </c>
      <c r="N496" s="5">
        <v>495</v>
      </c>
      <c r="O496" s="18"/>
      <c r="P496" s="17"/>
    </row>
    <row r="497" spans="1:16" x14ac:dyDescent="0.35">
      <c r="A497" s="3" t="s">
        <v>1369</v>
      </c>
      <c r="B497" s="3" t="s">
        <v>865</v>
      </c>
      <c r="C497" s="3" t="s">
        <v>864</v>
      </c>
      <c r="D497" s="3">
        <v>12.67</v>
      </c>
      <c r="E497" s="3">
        <v>12.67</v>
      </c>
      <c r="F497" s="3">
        <v>12.67</v>
      </c>
      <c r="G497" s="4">
        <v>12.67</v>
      </c>
      <c r="H497" s="17">
        <v>3.2482538428480041E-3</v>
      </c>
      <c r="I497" s="17">
        <v>3.2482538428480041E-3</v>
      </c>
      <c r="J497" s="3">
        <v>1.7722675101286903E-3</v>
      </c>
      <c r="K497" s="3">
        <v>2.6584012651930354E-3</v>
      </c>
      <c r="L497" s="3">
        <v>2</v>
      </c>
      <c r="N497" s="5">
        <v>496</v>
      </c>
      <c r="O497" s="18"/>
      <c r="P497" s="17"/>
    </row>
    <row r="498" spans="1:16" x14ac:dyDescent="0.35">
      <c r="A498" s="3" t="s">
        <v>1370</v>
      </c>
      <c r="B498" s="3" t="s">
        <v>866</v>
      </c>
      <c r="C498" s="3" t="s">
        <v>499</v>
      </c>
      <c r="D498" s="3">
        <v>30.71</v>
      </c>
      <c r="E498" s="3">
        <v>30.71</v>
      </c>
      <c r="F498" s="3">
        <v>30.71</v>
      </c>
      <c r="G498" s="4">
        <v>30.71</v>
      </c>
      <c r="H498" s="17">
        <v>1.023833137091465E-2</v>
      </c>
      <c r="I498" s="17">
        <v>1.023833137091465E-2</v>
      </c>
      <c r="J498" s="3">
        <v>1.4230505456876969E-2</v>
      </c>
      <c r="K498" s="3">
        <v>2.1345758185315453E-2</v>
      </c>
      <c r="L498" s="3">
        <v>2</v>
      </c>
      <c r="N498" s="5">
        <v>497</v>
      </c>
      <c r="O498" s="18"/>
      <c r="P498" s="17"/>
    </row>
    <row r="499" spans="1:16" x14ac:dyDescent="0.35">
      <c r="A499" s="3" t="s">
        <v>1371</v>
      </c>
      <c r="B499" s="3" t="s">
        <v>866</v>
      </c>
      <c r="C499" s="3" t="s">
        <v>500</v>
      </c>
      <c r="G499" s="4">
        <v>28.53</v>
      </c>
      <c r="H499" s="17">
        <v>3.5986798910075881E-3</v>
      </c>
      <c r="I499" s="17">
        <v>3.5986798910075881E-3</v>
      </c>
      <c r="J499" s="3">
        <v>2.8789439128060704E-3</v>
      </c>
      <c r="K499" s="3">
        <v>4.3184158692091057E-3</v>
      </c>
      <c r="L499" s="3">
        <v>2</v>
      </c>
      <c r="N499" s="5">
        <v>498</v>
      </c>
      <c r="O499" s="18"/>
      <c r="P499" s="17"/>
    </row>
    <row r="500" spans="1:16" x14ac:dyDescent="0.35">
      <c r="A500" s="3" t="s">
        <v>1372</v>
      </c>
      <c r="B500" s="3" t="s">
        <v>488</v>
      </c>
      <c r="C500" s="3" t="s">
        <v>489</v>
      </c>
      <c r="D500" s="3">
        <v>9.07</v>
      </c>
      <c r="E500" s="3">
        <v>9.07</v>
      </c>
      <c r="F500" s="3">
        <v>9.07</v>
      </c>
      <c r="G500" s="4">
        <v>9.07</v>
      </c>
      <c r="H500" s="17">
        <v>2.7585440183460147E-4</v>
      </c>
      <c r="I500" s="17">
        <v>2.7585440183460147E-4</v>
      </c>
      <c r="J500" s="3">
        <f>I500*0.1</f>
        <v>2.7585440183460148E-5</v>
      </c>
      <c r="K500" s="3">
        <f>I500*10</f>
        <v>2.7585440183460147E-3</v>
      </c>
      <c r="L500" s="3">
        <v>2</v>
      </c>
      <c r="N500" s="5">
        <v>499</v>
      </c>
      <c r="O500" s="18"/>
      <c r="P500" s="17"/>
    </row>
    <row r="501" spans="1:16" x14ac:dyDescent="0.35">
      <c r="A501" s="3" t="s">
        <v>1373</v>
      </c>
      <c r="B501" s="3" t="s">
        <v>475</v>
      </c>
      <c r="C501" s="3" t="s">
        <v>292</v>
      </c>
      <c r="G501" s="4">
        <v>0.1</v>
      </c>
      <c r="H501" s="17">
        <v>4.2197739159465378E-3</v>
      </c>
      <c r="I501" s="17">
        <v>4.2197739159465378E-3</v>
      </c>
      <c r="J501" s="3">
        <v>3.3758191327572305E-3</v>
      </c>
      <c r="K501" s="3">
        <v>5.0637286991358455E-3</v>
      </c>
      <c r="L501" s="3">
        <v>2</v>
      </c>
      <c r="N501" s="5">
        <v>500</v>
      </c>
      <c r="O501" s="18"/>
      <c r="P501" s="17"/>
    </row>
    <row r="502" spans="1:16" x14ac:dyDescent="0.35">
      <c r="A502" s="3" t="s">
        <v>1374</v>
      </c>
      <c r="B502" s="3" t="s">
        <v>572</v>
      </c>
      <c r="C502" s="3" t="s">
        <v>573</v>
      </c>
      <c r="G502" s="4">
        <v>21.36999999999999</v>
      </c>
      <c r="H502" s="17">
        <v>3.5848902355764729E-4</v>
      </c>
      <c r="I502" s="17">
        <v>3.5848902355764729E-4</v>
      </c>
      <c r="J502" s="3">
        <v>3.2452309526272933E-5</v>
      </c>
      <c r="K502" s="3">
        <v>4.8678464289409392E-5</v>
      </c>
      <c r="L502" s="3">
        <v>2</v>
      </c>
      <c r="N502" s="5">
        <v>501</v>
      </c>
      <c r="O502" s="18"/>
      <c r="P502" s="17"/>
    </row>
    <row r="503" spans="1:16" x14ac:dyDescent="0.35">
      <c r="A503" s="3" t="s">
        <v>1375</v>
      </c>
      <c r="B503" s="3" t="s">
        <v>561</v>
      </c>
      <c r="C503" s="3" t="s">
        <v>562</v>
      </c>
      <c r="G503" s="4">
        <v>44.330000000000013</v>
      </c>
      <c r="H503" s="17">
        <v>3.1300820734089162E-4</v>
      </c>
      <c r="I503" s="17">
        <v>3.1300820734089162E-4</v>
      </c>
      <c r="J503" s="3">
        <v>6.6660990703649328E-5</v>
      </c>
      <c r="K503" s="3">
        <v>9.9991486055473998E-5</v>
      </c>
      <c r="L503" s="3">
        <v>2</v>
      </c>
      <c r="N503" s="5">
        <v>502</v>
      </c>
      <c r="O503" s="18"/>
      <c r="P503" s="17"/>
    </row>
    <row r="504" spans="1:16" x14ac:dyDescent="0.35">
      <c r="A504" s="3" t="s">
        <v>1376</v>
      </c>
      <c r="B504" s="3" t="s">
        <v>548</v>
      </c>
      <c r="C504" s="3" t="s">
        <v>551</v>
      </c>
      <c r="G504" s="4">
        <v>14.37999999999999</v>
      </c>
      <c r="H504" s="17">
        <v>5.1736503748703018E-4</v>
      </c>
      <c r="I504" s="17">
        <v>5.1736503748703018E-4</v>
      </c>
      <c r="J504" s="3">
        <v>2.5470163508535087E-4</v>
      </c>
      <c r="K504" s="3">
        <v>3.8205245262802628E-4</v>
      </c>
      <c r="L504" s="3">
        <v>2</v>
      </c>
      <c r="N504" s="5">
        <v>503</v>
      </c>
      <c r="O504" s="18"/>
      <c r="P504" s="17"/>
    </row>
    <row r="505" spans="1:16" x14ac:dyDescent="0.35">
      <c r="A505" s="3" t="s">
        <v>1377</v>
      </c>
      <c r="B505" s="3" t="s">
        <v>535</v>
      </c>
      <c r="C505" s="3" t="s">
        <v>536</v>
      </c>
      <c r="G505" s="4">
        <v>9.44</v>
      </c>
      <c r="H505" s="17">
        <v>3.3313213206733968E-4</v>
      </c>
      <c r="I505" s="17">
        <v>3.3313213206733968E-4</v>
      </c>
      <c r="J505" s="3">
        <f>I505*0.1</f>
        <v>3.331321320673397E-5</v>
      </c>
      <c r="K505" s="3">
        <f>I505*10</f>
        <v>3.3313213206733966E-3</v>
      </c>
      <c r="L505" s="3">
        <v>2</v>
      </c>
      <c r="N505" s="5">
        <v>504</v>
      </c>
      <c r="O505" s="18"/>
      <c r="P505" s="17"/>
    </row>
    <row r="506" spans="1:16" x14ac:dyDescent="0.35">
      <c r="A506" s="3" t="s">
        <v>1378</v>
      </c>
      <c r="B506" s="3" t="s">
        <v>867</v>
      </c>
      <c r="C506" s="3" t="s">
        <v>532</v>
      </c>
      <c r="D506" s="3">
        <v>6.66</v>
      </c>
      <c r="E506" s="3">
        <v>6.66</v>
      </c>
      <c r="F506" s="3">
        <v>6.66</v>
      </c>
      <c r="G506" s="4">
        <v>6.66</v>
      </c>
      <c r="H506" s="17">
        <v>7.6596320624695868E-4</v>
      </c>
      <c r="I506" s="17">
        <v>7.6596320624695868E-4</v>
      </c>
      <c r="J506" s="3">
        <v>9.9614256655629449E-4</v>
      </c>
      <c r="K506" s="3">
        <v>1.4942138498344416E-3</v>
      </c>
      <c r="L506" s="3">
        <v>2</v>
      </c>
      <c r="N506" s="5">
        <v>505</v>
      </c>
      <c r="O506" s="18"/>
      <c r="P506" s="17"/>
    </row>
    <row r="507" spans="1:16" x14ac:dyDescent="0.35">
      <c r="A507" s="3" t="s">
        <v>1379</v>
      </c>
      <c r="B507" s="3" t="s">
        <v>502</v>
      </c>
      <c r="C507" s="3" t="s">
        <v>540</v>
      </c>
      <c r="G507" s="4">
        <v>10.49000000000002</v>
      </c>
      <c r="H507" s="17">
        <v>4.0702088027175622E-4</v>
      </c>
      <c r="I507" s="17">
        <v>4.0702088027175622E-4</v>
      </c>
      <c r="J507" s="3">
        <v>1.2112231347746897E-4</v>
      </c>
      <c r="K507" s="3">
        <v>1.8168347021620343E-4</v>
      </c>
      <c r="L507" s="3">
        <v>2</v>
      </c>
      <c r="N507" s="5">
        <v>506</v>
      </c>
      <c r="O507" s="18"/>
      <c r="P507" s="17"/>
    </row>
    <row r="508" spans="1:16" x14ac:dyDescent="0.35">
      <c r="A508" s="3" t="s">
        <v>1380</v>
      </c>
      <c r="B508" s="3" t="s">
        <v>637</v>
      </c>
      <c r="C508" s="3" t="s">
        <v>641</v>
      </c>
      <c r="G508" s="4">
        <v>39.817500000000003</v>
      </c>
      <c r="H508" s="17">
        <v>4.4770976150352568E-4</v>
      </c>
      <c r="I508" s="17">
        <v>4.4770976150352568E-4</v>
      </c>
      <c r="J508" s="3">
        <v>2.3956923377664208E-4</v>
      </c>
      <c r="K508" s="3">
        <v>3.5935385066496308E-4</v>
      </c>
      <c r="L508" s="3">
        <v>2</v>
      </c>
      <c r="N508" s="5">
        <v>507</v>
      </c>
      <c r="O508" s="18"/>
      <c r="P508" s="17"/>
    </row>
    <row r="509" spans="1:16" x14ac:dyDescent="0.35">
      <c r="A509" s="3" t="s">
        <v>1381</v>
      </c>
      <c r="B509" s="3" t="s">
        <v>615</v>
      </c>
      <c r="C509" s="3" t="s">
        <v>616</v>
      </c>
      <c r="G509" s="4">
        <v>19.38</v>
      </c>
      <c r="H509" s="17">
        <v>2.2759358193032749E-4</v>
      </c>
      <c r="I509" s="17">
        <v>2.2759358193032749E-4</v>
      </c>
      <c r="J509" s="3">
        <v>2.5438818497630617E-5</v>
      </c>
      <c r="K509" s="3">
        <v>3.8158227746445925E-5</v>
      </c>
      <c r="L509" s="3">
        <v>2</v>
      </c>
      <c r="N509" s="5">
        <v>508</v>
      </c>
      <c r="O509" s="18"/>
      <c r="P509" s="17"/>
    </row>
    <row r="510" spans="1:16" x14ac:dyDescent="0.35">
      <c r="A510" s="3" t="s">
        <v>1382</v>
      </c>
      <c r="B510" s="3" t="s">
        <v>604</v>
      </c>
      <c r="C510" s="3" t="s">
        <v>608</v>
      </c>
      <c r="G510" s="4">
        <v>15.25250000000003</v>
      </c>
      <c r="H510" s="17">
        <v>1.8760167972285539E-4</v>
      </c>
      <c r="I510" s="17">
        <v>1.8760167972285539E-4</v>
      </c>
      <c r="J510" s="3">
        <v>1.3159058821393815E-4</v>
      </c>
      <c r="K510" s="3">
        <v>1.9738588232090724E-4</v>
      </c>
      <c r="L510" s="3">
        <v>2</v>
      </c>
      <c r="N510" s="5">
        <v>509</v>
      </c>
      <c r="O510" s="18"/>
      <c r="P510" s="17"/>
    </row>
    <row r="511" spans="1:16" x14ac:dyDescent="0.35">
      <c r="A511" s="3" t="s">
        <v>1383</v>
      </c>
      <c r="B511" s="3" t="s">
        <v>593</v>
      </c>
      <c r="C511" s="3" t="s">
        <v>596</v>
      </c>
      <c r="G511" s="4">
        <v>16.420000000000002</v>
      </c>
      <c r="H511" s="17">
        <v>1.8773046397451801E-4</v>
      </c>
      <c r="I511" s="17">
        <v>1.8773046397451801E-4</v>
      </c>
      <c r="J511" s="3">
        <v>3.0035509070201923E-4</v>
      </c>
      <c r="K511" s="3">
        <v>4.5053263605302873E-4</v>
      </c>
      <c r="L511" s="3">
        <v>2</v>
      </c>
      <c r="N511" s="5">
        <v>510</v>
      </c>
      <c r="O511" s="18"/>
      <c r="P511" s="17"/>
    </row>
    <row r="512" spans="1:16" x14ac:dyDescent="0.35">
      <c r="A512" s="3" t="s">
        <v>1384</v>
      </c>
      <c r="B512" s="3" t="s">
        <v>868</v>
      </c>
      <c r="C512" s="3" t="s">
        <v>869</v>
      </c>
      <c r="D512" s="3">
        <v>8.4600000000000009</v>
      </c>
      <c r="E512" s="3">
        <v>8.4600000000000009</v>
      </c>
      <c r="F512" s="3">
        <v>8.4600000000000009</v>
      </c>
      <c r="G512" s="4">
        <v>8.4600000000000009</v>
      </c>
      <c r="H512" s="17">
        <v>2.6948130156705948E-4</v>
      </c>
      <c r="I512" s="17">
        <v>2.6948130156705948E-4</v>
      </c>
      <c r="J512" s="3">
        <v>4.6314490047201127E-4</v>
      </c>
      <c r="K512" s="3">
        <v>6.9471735070801685E-4</v>
      </c>
      <c r="L512" s="3">
        <v>2</v>
      </c>
      <c r="N512" s="5">
        <v>511</v>
      </c>
      <c r="O512" s="18"/>
      <c r="P512" s="17"/>
    </row>
    <row r="513" spans="1:16" x14ac:dyDescent="0.35">
      <c r="A513" s="3" t="s">
        <v>1385</v>
      </c>
      <c r="B513" s="3" t="s">
        <v>870</v>
      </c>
      <c r="C513" s="3" t="s">
        <v>871</v>
      </c>
      <c r="G513" s="4">
        <v>14.38</v>
      </c>
      <c r="H513" s="17">
        <v>6.0646444232948676E-4</v>
      </c>
      <c r="I513" s="17">
        <v>6.0646444232948676E-4</v>
      </c>
      <c r="J513" s="3">
        <v>5.4731918632440946E-4</v>
      </c>
      <c r="K513" s="3">
        <v>8.2097877948661402E-4</v>
      </c>
      <c r="L513" s="3">
        <v>2</v>
      </c>
      <c r="N513" s="5">
        <v>512</v>
      </c>
      <c r="O513" s="18"/>
      <c r="P513" s="17"/>
    </row>
    <row r="514" spans="1:16" x14ac:dyDescent="0.35">
      <c r="A514" s="3" t="s">
        <v>1386</v>
      </c>
      <c r="B514" s="3" t="s">
        <v>871</v>
      </c>
      <c r="C514" s="3" t="s">
        <v>592</v>
      </c>
      <c r="G514" s="4">
        <v>16.210000000000012</v>
      </c>
      <c r="H514" s="17">
        <v>6.3715360206488276E-4</v>
      </c>
      <c r="I514" s="17">
        <v>6.3715360206488276E-4</v>
      </c>
      <c r="J514" s="3">
        <v>2.7216998703383927E-4</v>
      </c>
      <c r="K514" s="3">
        <v>4.082549805507589E-4</v>
      </c>
      <c r="L514" s="3">
        <v>2</v>
      </c>
      <c r="N514" s="5">
        <v>513</v>
      </c>
      <c r="O514" s="18"/>
      <c r="P514" s="17"/>
    </row>
    <row r="515" spans="1:16" x14ac:dyDescent="0.35">
      <c r="A515" s="3" t="s">
        <v>1387</v>
      </c>
      <c r="B515" s="3" t="s">
        <v>872</v>
      </c>
      <c r="C515" s="3" t="s">
        <v>28</v>
      </c>
      <c r="D515" s="3">
        <v>263.39</v>
      </c>
      <c r="E515" s="3">
        <v>263.39</v>
      </c>
      <c r="F515" s="3">
        <v>263.39</v>
      </c>
      <c r="G515" s="4">
        <v>263.39</v>
      </c>
      <c r="H515" s="17">
        <v>5.5583163678069416E-4</v>
      </c>
      <c r="I515" s="17">
        <v>5.5583163678069416E-4</v>
      </c>
      <c r="J515" s="3">
        <v>8.8925390338499681E-4</v>
      </c>
      <c r="K515" s="3">
        <v>1.3338808550774951E-3</v>
      </c>
      <c r="L515" s="3">
        <v>2</v>
      </c>
      <c r="N515" s="5">
        <v>514</v>
      </c>
      <c r="O515" s="18"/>
      <c r="P515" s="17"/>
    </row>
    <row r="516" spans="1:16" x14ac:dyDescent="0.35">
      <c r="A516" s="3" t="s">
        <v>1388</v>
      </c>
      <c r="B516" s="3" t="s">
        <v>873</v>
      </c>
      <c r="C516" s="3" t="s">
        <v>872</v>
      </c>
      <c r="G516" s="4">
        <v>265.77999999999997</v>
      </c>
      <c r="H516" s="17">
        <v>1.250276302440059E-4</v>
      </c>
      <c r="I516" s="17">
        <v>1.250276302440059E-4</v>
      </c>
      <c r="J516" s="3">
        <f>I516*0.1</f>
        <v>1.250276302440059E-5</v>
      </c>
      <c r="K516" s="3">
        <f>I516*10</f>
        <v>1.2502763024400589E-3</v>
      </c>
      <c r="L516" s="3">
        <v>2</v>
      </c>
      <c r="N516" s="5">
        <v>515</v>
      </c>
      <c r="O516" s="18"/>
      <c r="P516" s="17"/>
    </row>
    <row r="517" spans="1:16" x14ac:dyDescent="0.35">
      <c r="A517" s="3" t="s">
        <v>1389</v>
      </c>
      <c r="B517" s="3" t="s">
        <v>666</v>
      </c>
      <c r="C517" s="3" t="s">
        <v>275</v>
      </c>
      <c r="D517" s="3">
        <v>112.91</v>
      </c>
      <c r="E517" s="3">
        <v>112.91</v>
      </c>
      <c r="F517" s="3">
        <v>112.91</v>
      </c>
      <c r="G517" s="4">
        <v>112.91</v>
      </c>
      <c r="H517" s="17">
        <v>2.871558874162369E-3</v>
      </c>
      <c r="I517" s="17">
        <v>2.871558874162369E-3</v>
      </c>
      <c r="J517" s="3">
        <v>4.6951805127732704E-4</v>
      </c>
      <c r="K517" s="3">
        <v>7.0427707691599051E-4</v>
      </c>
      <c r="L517" s="3">
        <v>2</v>
      </c>
      <c r="N517" s="5">
        <v>516</v>
      </c>
      <c r="O517" s="18"/>
      <c r="P517" s="17"/>
    </row>
    <row r="518" spans="1:16" x14ac:dyDescent="0.35">
      <c r="A518" s="3" t="s">
        <v>1390</v>
      </c>
      <c r="B518" s="3" t="s">
        <v>874</v>
      </c>
      <c r="C518" s="3" t="s">
        <v>286</v>
      </c>
      <c r="G518" s="4">
        <v>43.767499999999998</v>
      </c>
      <c r="H518" s="17">
        <v>7.747449013465006E-3</v>
      </c>
      <c r="I518" s="17">
        <v>7.747449013465006E-3</v>
      </c>
      <c r="J518" s="3">
        <v>2.5465768338665488E-3</v>
      </c>
      <c r="K518" s="3">
        <v>3.8198652507998232E-3</v>
      </c>
      <c r="L518" s="3">
        <v>2</v>
      </c>
      <c r="N518" s="5">
        <v>517</v>
      </c>
      <c r="O518" s="18"/>
      <c r="P518" s="17"/>
    </row>
    <row r="519" spans="1:16" x14ac:dyDescent="0.35">
      <c r="A519" s="3" t="s">
        <v>1391</v>
      </c>
      <c r="B519" s="3" t="s">
        <v>481</v>
      </c>
      <c r="C519" s="3" t="s">
        <v>277</v>
      </c>
      <c r="D519" s="3">
        <v>32.979999999999997</v>
      </c>
      <c r="E519" s="3">
        <v>32.979999999999997</v>
      </c>
      <c r="F519" s="3">
        <v>32.979999999999997</v>
      </c>
      <c r="G519" s="4">
        <v>32.979999999999997</v>
      </c>
      <c r="H519" s="17">
        <v>3.4869314677881511E-3</v>
      </c>
      <c r="I519" s="17">
        <v>3.4869314677881511E-3</v>
      </c>
      <c r="J519" s="3">
        <v>1.9698544388118216E-3</v>
      </c>
      <c r="K519" s="3">
        <v>2.9547816582177326E-3</v>
      </c>
      <c r="L519" s="3">
        <v>2</v>
      </c>
      <c r="N519" s="5">
        <v>518</v>
      </c>
      <c r="O519" s="18"/>
      <c r="P519" s="17"/>
    </row>
    <row r="520" spans="1:16" x14ac:dyDescent="0.35">
      <c r="A520" s="34" t="s">
        <v>1392</v>
      </c>
      <c r="B520" s="34" t="s">
        <v>875</v>
      </c>
      <c r="C520" s="34" t="s">
        <v>876</v>
      </c>
      <c r="D520" s="34"/>
      <c r="E520" s="34"/>
      <c r="F520" s="7">
        <v>1.02</v>
      </c>
      <c r="G520" s="35">
        <v>5.3050000000000006</v>
      </c>
      <c r="H520" s="36">
        <v>0.37877096903186369</v>
      </c>
      <c r="I520" s="36">
        <v>0.37877096903186369</v>
      </c>
      <c r="J520" s="34">
        <v>0.10288842769307752</v>
      </c>
      <c r="K520" s="34">
        <v>0.15433264153961626</v>
      </c>
      <c r="L520" s="34">
        <v>2</v>
      </c>
      <c r="M520" s="34" t="s">
        <v>2085</v>
      </c>
      <c r="N520" s="37">
        <v>519</v>
      </c>
      <c r="O520" s="18"/>
      <c r="P520" s="17"/>
    </row>
    <row r="521" spans="1:16" x14ac:dyDescent="0.35">
      <c r="A521" s="3" t="s">
        <v>1393</v>
      </c>
      <c r="B521" s="3" t="s">
        <v>877</v>
      </c>
      <c r="C521" s="3" t="s">
        <v>878</v>
      </c>
      <c r="D521" s="3">
        <v>3.35</v>
      </c>
      <c r="E521" s="3">
        <v>3.35</v>
      </c>
      <c r="F521" s="3">
        <v>3.35</v>
      </c>
      <c r="G521" s="4">
        <v>3.35</v>
      </c>
      <c r="H521" s="17">
        <v>2.8470140511178241E-3</v>
      </c>
      <c r="I521" s="17">
        <v>2.8470140511178241E-3</v>
      </c>
      <c r="J521" s="3">
        <v>3.0257456638544916E-3</v>
      </c>
      <c r="K521" s="3">
        <v>4.5386184957817372E-3</v>
      </c>
      <c r="L521" s="3">
        <v>2</v>
      </c>
      <c r="N521" s="5">
        <v>520</v>
      </c>
      <c r="O521" s="18"/>
      <c r="P521" s="17"/>
    </row>
    <row r="522" spans="1:16" x14ac:dyDescent="0.35">
      <c r="A522" s="3" t="s">
        <v>1394</v>
      </c>
      <c r="B522" s="3" t="s">
        <v>474</v>
      </c>
      <c r="C522" s="3" t="s">
        <v>876</v>
      </c>
      <c r="G522" s="4">
        <v>27.08499999999999</v>
      </c>
      <c r="H522" s="17">
        <v>3.1229809452271691E-3</v>
      </c>
      <c r="I522" s="17">
        <v>3.1229809452271691E-3</v>
      </c>
      <c r="J522" s="3">
        <v>3.1840161468815062E-8</v>
      </c>
      <c r="K522" s="3">
        <v>4.776024220322259E-8</v>
      </c>
      <c r="L522" s="3">
        <v>2</v>
      </c>
      <c r="N522" s="5">
        <v>521</v>
      </c>
      <c r="O522" s="18"/>
      <c r="P522" s="17"/>
    </row>
    <row r="523" spans="1:16" x14ac:dyDescent="0.35">
      <c r="A523" s="3" t="s">
        <v>1395</v>
      </c>
      <c r="B523" s="3" t="s">
        <v>471</v>
      </c>
      <c r="C523" s="3" t="s">
        <v>285</v>
      </c>
      <c r="D523" s="3">
        <v>12.95</v>
      </c>
      <c r="E523" s="3">
        <v>12.95</v>
      </c>
      <c r="F523" s="3">
        <v>12.95</v>
      </c>
      <c r="G523" s="4">
        <v>12.95</v>
      </c>
      <c r="H523" s="19">
        <v>1.662589008431825E-3</v>
      </c>
      <c r="I523" s="19">
        <v>1.662589008431825E-3</v>
      </c>
      <c r="J523" s="3">
        <v>8.4467320977950333E-4</v>
      </c>
      <c r="K523" s="3">
        <v>1.2670098146692549E-3</v>
      </c>
      <c r="L523" s="3">
        <v>2</v>
      </c>
      <c r="N523" s="5">
        <v>522</v>
      </c>
      <c r="O523" s="18"/>
      <c r="P523" s="17"/>
    </row>
    <row r="524" spans="1:16" x14ac:dyDescent="0.35">
      <c r="A524" s="3" t="s">
        <v>1396</v>
      </c>
      <c r="B524" s="3" t="s">
        <v>879</v>
      </c>
      <c r="C524" s="3" t="s">
        <v>863</v>
      </c>
      <c r="G524" s="4">
        <v>56.18</v>
      </c>
      <c r="H524" s="17">
        <v>2.976186339174135E-4</v>
      </c>
      <c r="I524" s="17">
        <v>2.976186339174135E-4</v>
      </c>
      <c r="J524" s="3">
        <v>1.536484457505485E-4</v>
      </c>
      <c r="K524" s="3">
        <v>2.3047266862582269E-4</v>
      </c>
      <c r="L524" s="3">
        <v>2</v>
      </c>
      <c r="N524" s="5">
        <v>523</v>
      </c>
      <c r="O524" s="18"/>
      <c r="P524" s="17"/>
    </row>
    <row r="525" spans="1:16" x14ac:dyDescent="0.35">
      <c r="A525" s="3" t="s">
        <v>1397</v>
      </c>
      <c r="B525" s="3" t="s">
        <v>456</v>
      </c>
      <c r="C525" s="3" t="s">
        <v>105</v>
      </c>
      <c r="D525" s="3">
        <v>17.68</v>
      </c>
      <c r="E525" s="3">
        <v>17.68</v>
      </c>
      <c r="F525" s="3">
        <v>17.68</v>
      </c>
      <c r="G525" s="4">
        <v>17.68</v>
      </c>
      <c r="H525" s="17">
        <v>1.735176565170544E-3</v>
      </c>
      <c r="I525" s="17">
        <v>1.735176565170544E-3</v>
      </c>
      <c r="J525" s="3">
        <v>3.0664658574345731E-4</v>
      </c>
      <c r="K525" s="3">
        <v>4.5996987861518594E-4</v>
      </c>
      <c r="L525" s="3">
        <v>2</v>
      </c>
      <c r="N525" s="5">
        <v>524</v>
      </c>
      <c r="O525" s="18"/>
      <c r="P525" s="17"/>
    </row>
    <row r="526" spans="1:16" x14ac:dyDescent="0.35">
      <c r="A526" s="3" t="s">
        <v>1398</v>
      </c>
      <c r="B526" s="3" t="s">
        <v>457</v>
      </c>
      <c r="C526" s="3" t="s">
        <v>456</v>
      </c>
      <c r="G526" s="4">
        <v>0.99999999999999856</v>
      </c>
      <c r="H526" s="17">
        <v>7.3033743236984722E-3</v>
      </c>
      <c r="I526" s="17">
        <v>7.3033743236984722E-3</v>
      </c>
      <c r="J526" s="3">
        <v>5.8426994589587779E-3</v>
      </c>
      <c r="K526" s="3">
        <v>8.7640491884381656E-3</v>
      </c>
      <c r="L526" s="3">
        <v>2</v>
      </c>
      <c r="N526" s="5">
        <v>525</v>
      </c>
      <c r="O526" s="18"/>
      <c r="P526" s="17"/>
    </row>
    <row r="527" spans="1:16" x14ac:dyDescent="0.35">
      <c r="A527" s="3" t="s">
        <v>1399</v>
      </c>
      <c r="B527" s="3" t="s">
        <v>880</v>
      </c>
      <c r="C527" s="3" t="s">
        <v>81</v>
      </c>
      <c r="G527" s="4">
        <v>15.59</v>
      </c>
      <c r="H527" s="17">
        <v>1.79213370191214E-3</v>
      </c>
      <c r="I527" s="17">
        <v>1.79213370191214E-3</v>
      </c>
      <c r="J527" s="3">
        <v>8.8662608702533448E-4</v>
      </c>
      <c r="K527" s="3">
        <v>1.3299391305380017E-3</v>
      </c>
      <c r="L527" s="3">
        <v>2</v>
      </c>
      <c r="N527" s="5">
        <v>526</v>
      </c>
      <c r="O527" s="18"/>
      <c r="P527" s="17"/>
    </row>
    <row r="528" spans="1:16" x14ac:dyDescent="0.35">
      <c r="A528" s="3" t="s">
        <v>1400</v>
      </c>
      <c r="B528" s="3" t="s">
        <v>881</v>
      </c>
      <c r="C528" s="3" t="s">
        <v>882</v>
      </c>
      <c r="G528" s="4">
        <v>0.1</v>
      </c>
      <c r="H528" s="17">
        <v>3.2822489958795669E-3</v>
      </c>
      <c r="I528" s="17">
        <v>3.2822489958795669E-3</v>
      </c>
      <c r="J528" s="3">
        <v>1.3130796509694329E-3</v>
      </c>
      <c r="K528" s="3">
        <v>1.9696194764541493E-3</v>
      </c>
      <c r="L528" s="3">
        <v>2</v>
      </c>
      <c r="N528" s="5">
        <v>527</v>
      </c>
      <c r="O528" s="18"/>
      <c r="P528" s="17"/>
    </row>
    <row r="529" spans="1:16" x14ac:dyDescent="0.35">
      <c r="A529" s="7" t="s">
        <v>1401</v>
      </c>
      <c r="B529" s="7" t="s">
        <v>882</v>
      </c>
      <c r="C529" s="7" t="s">
        <v>883</v>
      </c>
      <c r="D529" s="7"/>
      <c r="E529" s="7"/>
      <c r="F529" s="7"/>
      <c r="G529" s="11">
        <v>1.400000000000001</v>
      </c>
      <c r="H529" s="9">
        <v>20</v>
      </c>
      <c r="I529" s="22">
        <v>5.5580736858685468E-4</v>
      </c>
      <c r="J529" s="7">
        <v>2.8114926558579577E-2</v>
      </c>
      <c r="K529" s="7">
        <v>2</v>
      </c>
      <c r="L529" s="7">
        <v>2</v>
      </c>
      <c r="M529" s="7"/>
      <c r="N529" s="8">
        <v>528</v>
      </c>
      <c r="O529" s="18"/>
      <c r="P529" s="17"/>
    </row>
    <row r="530" spans="1:16" x14ac:dyDescent="0.35">
      <c r="A530" s="3" t="s">
        <v>1402</v>
      </c>
      <c r="B530" s="3" t="s">
        <v>883</v>
      </c>
      <c r="C530" s="3" t="s">
        <v>83</v>
      </c>
      <c r="D530" s="3">
        <v>14.88</v>
      </c>
      <c r="E530" s="3">
        <v>14.88</v>
      </c>
      <c r="F530" s="3">
        <v>14.88</v>
      </c>
      <c r="G530" s="4">
        <v>14.88</v>
      </c>
      <c r="H530" s="19">
        <v>7.3493317088914605E-4</v>
      </c>
      <c r="I530" s="19">
        <v>7.3493317088914605E-4</v>
      </c>
      <c r="J530" s="3">
        <v>5.8794653671131688E-4</v>
      </c>
      <c r="K530" s="3">
        <v>8.8191980506697521E-4</v>
      </c>
      <c r="L530" s="3">
        <v>2</v>
      </c>
      <c r="N530" s="5">
        <v>529</v>
      </c>
      <c r="O530" s="18"/>
      <c r="P530" s="17"/>
    </row>
    <row r="531" spans="1:16" x14ac:dyDescent="0.35">
      <c r="A531" s="3" t="s">
        <v>1403</v>
      </c>
      <c r="B531" s="3" t="s">
        <v>884</v>
      </c>
      <c r="C531" s="3" t="s">
        <v>23</v>
      </c>
      <c r="G531" s="4">
        <v>9.01</v>
      </c>
      <c r="H531" s="17">
        <v>3.7660277769742172E-2</v>
      </c>
      <c r="I531" s="17">
        <v>3.7660277769742172E-2</v>
      </c>
      <c r="J531" s="3">
        <v>1.024276160861483E-2</v>
      </c>
      <c r="K531" s="3">
        <v>1.5364142412922244E-2</v>
      </c>
      <c r="L531" s="3">
        <v>2</v>
      </c>
      <c r="N531" s="5">
        <v>530</v>
      </c>
      <c r="O531" s="18"/>
      <c r="P531" s="17"/>
    </row>
    <row r="532" spans="1:16" x14ac:dyDescent="0.35">
      <c r="A532" s="3" t="s">
        <v>1404</v>
      </c>
      <c r="B532" s="3" t="s">
        <v>425</v>
      </c>
      <c r="C532" s="3" t="s">
        <v>885</v>
      </c>
      <c r="G532" s="4">
        <v>1.81</v>
      </c>
      <c r="H532" s="17">
        <v>1.20748110589209E-4</v>
      </c>
      <c r="I532" s="17">
        <v>1.20748110589209E-4</v>
      </c>
      <c r="J532" s="3">
        <v>8.5798267526372956E-5</v>
      </c>
      <c r="K532" s="3">
        <v>1.2869740128955943E-4</v>
      </c>
      <c r="L532" s="3">
        <v>2</v>
      </c>
      <c r="N532" s="5">
        <v>531</v>
      </c>
      <c r="O532" s="18"/>
      <c r="P532" s="17"/>
    </row>
    <row r="533" spans="1:16" x14ac:dyDescent="0.35">
      <c r="A533" s="3" t="s">
        <v>1405</v>
      </c>
      <c r="B533" s="3" t="s">
        <v>477</v>
      </c>
      <c r="C533" s="3" t="s">
        <v>675</v>
      </c>
      <c r="D533" s="3">
        <v>206.43</v>
      </c>
      <c r="E533" s="3">
        <v>206.43</v>
      </c>
      <c r="F533" s="3">
        <v>206.43</v>
      </c>
      <c r="G533" s="4">
        <v>206.43</v>
      </c>
      <c r="H533" s="17">
        <v>4.6934410433825333E-4</v>
      </c>
      <c r="I533" s="17">
        <v>4.6934410433825333E-4</v>
      </c>
      <c r="J533" s="3">
        <v>1.3320118560556504E-4</v>
      </c>
      <c r="K533" s="3">
        <v>1.9980177840834754E-4</v>
      </c>
      <c r="L533" s="3">
        <v>2</v>
      </c>
      <c r="N533" s="5">
        <v>532</v>
      </c>
      <c r="O533" s="18"/>
      <c r="P533" s="17"/>
    </row>
    <row r="534" spans="1:16" x14ac:dyDescent="0.35">
      <c r="A534" s="3" t="s">
        <v>1406</v>
      </c>
      <c r="B534" s="3" t="s">
        <v>886</v>
      </c>
      <c r="C534" s="3" t="s">
        <v>887</v>
      </c>
      <c r="G534" s="4">
        <v>6.93</v>
      </c>
      <c r="H534" s="17">
        <v>5.7321944116809458E-3</v>
      </c>
      <c r="I534" s="17">
        <v>5.7321944116809458E-3</v>
      </c>
      <c r="J534" s="3">
        <f>I534*0.1</f>
        <v>5.732194411680946E-4</v>
      </c>
      <c r="K534" s="3">
        <f>I534*10</f>
        <v>5.7321944116809458E-2</v>
      </c>
      <c r="L534" s="3">
        <v>2</v>
      </c>
      <c r="N534" s="5">
        <v>533</v>
      </c>
      <c r="O534" s="18"/>
      <c r="P534" s="17"/>
    </row>
    <row r="535" spans="1:16" x14ac:dyDescent="0.35">
      <c r="A535" s="3" t="s">
        <v>1407</v>
      </c>
      <c r="B535" s="3" t="s">
        <v>886</v>
      </c>
      <c r="C535" s="3" t="s">
        <v>888</v>
      </c>
      <c r="G535" s="4">
        <v>83.949999999999847</v>
      </c>
      <c r="H535" s="17">
        <v>4.0349118962815169E-4</v>
      </c>
      <c r="I535" s="17">
        <v>4.0349118962815169E-4</v>
      </c>
      <c r="J535" s="3">
        <v>1.9855676712108211E-4</v>
      </c>
      <c r="K535" s="3">
        <v>2.9783515068162314E-4</v>
      </c>
      <c r="L535" s="3">
        <v>2</v>
      </c>
      <c r="N535" s="5">
        <v>534</v>
      </c>
      <c r="O535" s="18"/>
      <c r="P535" s="17"/>
    </row>
    <row r="536" spans="1:16" x14ac:dyDescent="0.35">
      <c r="A536" s="3" t="s">
        <v>1408</v>
      </c>
      <c r="B536" s="3" t="s">
        <v>454</v>
      </c>
      <c r="C536" s="3" t="s">
        <v>889</v>
      </c>
      <c r="D536" s="3">
        <v>8.44</v>
      </c>
      <c r="E536" s="3">
        <v>8.44</v>
      </c>
      <c r="F536" s="3">
        <v>8.44</v>
      </c>
      <c r="G536" s="4">
        <v>8.44</v>
      </c>
      <c r="H536" s="17">
        <v>6.0039674796224232E-3</v>
      </c>
      <c r="I536" s="17">
        <v>6.0039674796224232E-3</v>
      </c>
      <c r="J536" s="3">
        <v>4.8031739836979391E-3</v>
      </c>
      <c r="K536" s="3">
        <v>7.2047609755469073E-3</v>
      </c>
      <c r="L536" s="3">
        <v>2</v>
      </c>
      <c r="N536" s="5">
        <v>535</v>
      </c>
      <c r="O536" s="18"/>
      <c r="P536" s="17"/>
    </row>
    <row r="537" spans="1:16" x14ac:dyDescent="0.35">
      <c r="A537" s="7" t="s">
        <v>1409</v>
      </c>
      <c r="B537" s="7" t="s">
        <v>890</v>
      </c>
      <c r="C537" s="7" t="s">
        <v>257</v>
      </c>
      <c r="D537" s="7"/>
      <c r="E537" s="7"/>
      <c r="F537" s="7"/>
      <c r="G537" s="11">
        <v>0.1</v>
      </c>
      <c r="H537" s="9">
        <v>30</v>
      </c>
      <c r="I537" s="22">
        <v>1.994556405474637</v>
      </c>
      <c r="J537" s="7">
        <v>1E-3</v>
      </c>
      <c r="K537" s="7">
        <v>5000</v>
      </c>
      <c r="L537" s="7">
        <v>2</v>
      </c>
      <c r="M537" s="7"/>
      <c r="N537" s="8">
        <v>536</v>
      </c>
      <c r="O537" s="18"/>
      <c r="P537" s="17"/>
    </row>
    <row r="538" spans="1:16" s="14" customFormat="1" x14ac:dyDescent="0.35">
      <c r="A538" s="14" t="s">
        <v>1410</v>
      </c>
      <c r="B538" s="14" t="s">
        <v>891</v>
      </c>
      <c r="C538" s="14" t="s">
        <v>45</v>
      </c>
      <c r="D538" s="3"/>
      <c r="E538" s="3"/>
      <c r="F538" s="3">
        <v>2.73</v>
      </c>
      <c r="G538" s="4">
        <v>0.16500000000002879</v>
      </c>
      <c r="H538" s="8">
        <v>30</v>
      </c>
      <c r="I538" s="20">
        <v>2.8965135657716859E-3</v>
      </c>
      <c r="J538" s="14">
        <v>1.4482567828858429E-3</v>
      </c>
      <c r="K538" s="14">
        <v>2287.8409204451787</v>
      </c>
      <c r="L538" s="14">
        <v>2</v>
      </c>
      <c r="M538" s="14" t="s">
        <v>2057</v>
      </c>
      <c r="N538" s="5">
        <v>537</v>
      </c>
      <c r="O538" s="21"/>
      <c r="P538" s="20"/>
    </row>
    <row r="539" spans="1:16" x14ac:dyDescent="0.35">
      <c r="A539" s="3" t="s">
        <v>1411</v>
      </c>
      <c r="B539" s="3" t="s">
        <v>892</v>
      </c>
      <c r="C539" s="3" t="s">
        <v>893</v>
      </c>
      <c r="G539" s="4">
        <v>2.290000000000032</v>
      </c>
      <c r="H539" s="17">
        <v>7.2862537481875817E-4</v>
      </c>
      <c r="I539" s="17">
        <v>7.2862537481875817E-4</v>
      </c>
      <c r="J539" s="3">
        <v>3.4966769079019459E-4</v>
      </c>
      <c r="K539" s="3">
        <v>5.2450153618529183E-4</v>
      </c>
      <c r="L539" s="3">
        <v>2</v>
      </c>
      <c r="N539" s="5">
        <v>538</v>
      </c>
      <c r="O539" s="18"/>
      <c r="P539" s="17"/>
    </row>
    <row r="540" spans="1:16" x14ac:dyDescent="0.35">
      <c r="A540" s="3" t="s">
        <v>1412</v>
      </c>
      <c r="B540" s="3" t="s">
        <v>892</v>
      </c>
      <c r="C540" s="3" t="s">
        <v>894</v>
      </c>
      <c r="G540" s="4">
        <v>2.0199999999999338</v>
      </c>
      <c r="H540" s="17">
        <v>1.010696355835419E-3</v>
      </c>
      <c r="I540" s="17">
        <v>1.010696355835419E-3</v>
      </c>
      <c r="J540" s="3">
        <v>2.0213927116708379E-4</v>
      </c>
      <c r="K540" s="3">
        <v>2.021392711670838E-3</v>
      </c>
      <c r="L540" s="3">
        <v>2</v>
      </c>
      <c r="N540" s="5">
        <v>539</v>
      </c>
      <c r="O540" s="18"/>
      <c r="P540" s="17"/>
    </row>
    <row r="541" spans="1:16" s="15" customFormat="1" x14ac:dyDescent="0.35">
      <c r="A541" s="15" t="s">
        <v>1413</v>
      </c>
      <c r="B541" s="15" t="s">
        <v>895</v>
      </c>
      <c r="C541" s="15" t="s">
        <v>896</v>
      </c>
      <c r="D541" s="3">
        <v>13.89</v>
      </c>
      <c r="E541" s="3">
        <v>13.89</v>
      </c>
      <c r="F541" s="3">
        <v>13.89</v>
      </c>
      <c r="G541" s="4">
        <v>13.89</v>
      </c>
      <c r="H541" s="9">
        <v>1</v>
      </c>
      <c r="I541" s="24">
        <v>7.8027524903123431E-4</v>
      </c>
      <c r="J541" s="15">
        <v>3.9013762451561715E-4</v>
      </c>
      <c r="K541" s="15">
        <v>0.1</v>
      </c>
      <c r="L541" s="15">
        <v>2</v>
      </c>
      <c r="M541" s="15" t="s">
        <v>2106</v>
      </c>
      <c r="N541" s="16">
        <v>540</v>
      </c>
      <c r="O541" s="25"/>
      <c r="P541" s="24"/>
    </row>
    <row r="542" spans="1:16" x14ac:dyDescent="0.35">
      <c r="A542" s="3" t="s">
        <v>1414</v>
      </c>
      <c r="B542" s="3" t="s">
        <v>897</v>
      </c>
      <c r="C542" s="3" t="s">
        <v>885</v>
      </c>
      <c r="G542" s="4">
        <v>0.1</v>
      </c>
      <c r="H542" s="19">
        <v>1.952945989753275E-3</v>
      </c>
      <c r="I542" s="19">
        <v>1.952945989753275E-3</v>
      </c>
      <c r="J542" s="3">
        <v>1.56235679180262E-3</v>
      </c>
      <c r="K542" s="3">
        <v>2.34353518770393E-3</v>
      </c>
      <c r="L542" s="3">
        <v>2</v>
      </c>
      <c r="N542" s="5">
        <v>541</v>
      </c>
      <c r="O542" s="18"/>
      <c r="P542" s="17"/>
    </row>
    <row r="543" spans="1:16" x14ac:dyDescent="0.35">
      <c r="A543" s="3" t="s">
        <v>1415</v>
      </c>
      <c r="B543" s="3" t="s">
        <v>898</v>
      </c>
      <c r="C543" s="3" t="s">
        <v>897</v>
      </c>
      <c r="G543" s="4">
        <v>9.65</v>
      </c>
      <c r="H543" s="17">
        <v>5.766783938212155E-4</v>
      </c>
      <c r="I543" s="17">
        <v>5.766783938212155E-4</v>
      </c>
      <c r="J543" s="3">
        <v>4.613427150569724E-4</v>
      </c>
      <c r="K543" s="3">
        <v>6.920140725854586E-4</v>
      </c>
      <c r="L543" s="3">
        <v>2</v>
      </c>
      <c r="N543" s="5">
        <v>542</v>
      </c>
      <c r="O543" s="18"/>
      <c r="P543" s="17"/>
    </row>
    <row r="544" spans="1:16" x14ac:dyDescent="0.35">
      <c r="A544" s="3" t="s">
        <v>1416</v>
      </c>
      <c r="B544" s="3" t="s">
        <v>899</v>
      </c>
      <c r="C544" s="3" t="s">
        <v>898</v>
      </c>
      <c r="G544" s="4">
        <v>7.9900000000000011</v>
      </c>
      <c r="H544" s="17">
        <v>2.4935975331810678E-4</v>
      </c>
      <c r="I544" s="17">
        <v>2.4935975331810678E-4</v>
      </c>
      <c r="J544" s="3">
        <v>1.5047731613353687E-4</v>
      </c>
      <c r="K544" s="3">
        <v>2.2571597420030531E-4</v>
      </c>
      <c r="L544" s="3">
        <v>2</v>
      </c>
      <c r="N544" s="5">
        <v>543</v>
      </c>
      <c r="O544" s="18"/>
      <c r="P544" s="17"/>
    </row>
    <row r="545" spans="1:16" x14ac:dyDescent="0.35">
      <c r="A545" s="3" t="s">
        <v>1417</v>
      </c>
      <c r="B545" s="3" t="s">
        <v>899</v>
      </c>
      <c r="C545" s="3" t="s">
        <v>900</v>
      </c>
      <c r="G545" s="4">
        <v>14.045</v>
      </c>
      <c r="H545" s="17">
        <v>1.760916920095907E-3</v>
      </c>
      <c r="I545" s="17">
        <v>1.760916920095907E-3</v>
      </c>
      <c r="J545" s="3">
        <v>1.4087335360767257E-3</v>
      </c>
      <c r="K545" s="3">
        <v>2.1131003041150883E-3</v>
      </c>
      <c r="L545" s="3">
        <v>2</v>
      </c>
      <c r="N545" s="5">
        <v>544</v>
      </c>
      <c r="O545" s="18"/>
      <c r="P545" s="17"/>
    </row>
    <row r="546" spans="1:16" x14ac:dyDescent="0.35">
      <c r="A546" s="3" t="s">
        <v>1418</v>
      </c>
      <c r="B546" s="3" t="s">
        <v>900</v>
      </c>
      <c r="C546" s="3" t="s">
        <v>901</v>
      </c>
      <c r="G546" s="4">
        <v>13.945</v>
      </c>
      <c r="H546" s="17">
        <v>7.0052178087398847E-4</v>
      </c>
      <c r="I546" s="17">
        <v>7.0052178087398847E-4</v>
      </c>
      <c r="J546" s="3">
        <v>3.5026089043699424E-4</v>
      </c>
      <c r="K546" s="3">
        <v>1.4010435617479769E-3</v>
      </c>
      <c r="L546" s="3">
        <v>2</v>
      </c>
      <c r="N546" s="5">
        <v>545</v>
      </c>
      <c r="O546" s="18"/>
      <c r="P546" s="17"/>
    </row>
    <row r="547" spans="1:16" s="15" customFormat="1" x14ac:dyDescent="0.35">
      <c r="A547" s="15" t="s">
        <v>1419</v>
      </c>
      <c r="B547" s="15" t="s">
        <v>885</v>
      </c>
      <c r="C547" s="15" t="s">
        <v>902</v>
      </c>
      <c r="D547" s="3">
        <v>5</v>
      </c>
      <c r="E547" s="3">
        <v>5</v>
      </c>
      <c r="F547" s="3">
        <v>5</v>
      </c>
      <c r="G547" s="4">
        <v>5</v>
      </c>
      <c r="H547" s="24">
        <v>1.20748110589209E-4</v>
      </c>
      <c r="I547" s="24">
        <v>1.20748110589209E-4</v>
      </c>
      <c r="J547" s="15">
        <v>6.0374055294604502E-5</v>
      </c>
      <c r="K547" s="15">
        <v>15.771759708308151</v>
      </c>
      <c r="L547" s="15">
        <v>2</v>
      </c>
      <c r="M547" s="15" t="s">
        <v>2058</v>
      </c>
      <c r="N547" s="16">
        <v>546</v>
      </c>
      <c r="O547" s="25"/>
      <c r="P547" s="24"/>
    </row>
    <row r="548" spans="1:16" x14ac:dyDescent="0.35">
      <c r="A548" s="3" t="s">
        <v>1420</v>
      </c>
      <c r="B548" s="3" t="s">
        <v>903</v>
      </c>
      <c r="C548" s="3" t="s">
        <v>904</v>
      </c>
      <c r="D548" s="3">
        <v>10.68</v>
      </c>
      <c r="E548" s="3">
        <v>10.68</v>
      </c>
      <c r="F548" s="3">
        <v>10.68</v>
      </c>
      <c r="G548" s="4">
        <v>10.68</v>
      </c>
      <c r="H548" s="19">
        <v>1.1793896248949521E-3</v>
      </c>
      <c r="I548" s="19">
        <v>1.1793896248949521E-3</v>
      </c>
      <c r="J548" s="3">
        <v>9.4351169991596174E-4</v>
      </c>
      <c r="K548" s="3">
        <v>1.4152675498739424E-3</v>
      </c>
      <c r="L548" s="3">
        <v>2</v>
      </c>
      <c r="N548" s="5">
        <v>547</v>
      </c>
      <c r="O548" s="18"/>
      <c r="P548" s="17"/>
    </row>
    <row r="549" spans="1:16" x14ac:dyDescent="0.35">
      <c r="A549" s="3" t="s">
        <v>1421</v>
      </c>
      <c r="B549" s="3" t="s">
        <v>905</v>
      </c>
      <c r="C549" s="3" t="s">
        <v>906</v>
      </c>
      <c r="G549" s="4">
        <v>11.865</v>
      </c>
      <c r="H549" s="17">
        <v>1.9224780602156251E-3</v>
      </c>
      <c r="I549" s="17">
        <v>1.9224780602156251E-3</v>
      </c>
      <c r="J549" s="3">
        <v>4.4310754058748611E-4</v>
      </c>
      <c r="K549" s="3">
        <v>6.6466131088122916E-4</v>
      </c>
      <c r="L549" s="3">
        <v>2</v>
      </c>
      <c r="N549" s="5">
        <v>548</v>
      </c>
      <c r="O549" s="18"/>
      <c r="P549" s="17"/>
    </row>
    <row r="550" spans="1:16" x14ac:dyDescent="0.35">
      <c r="A550" s="3" t="s">
        <v>1422</v>
      </c>
      <c r="B550" s="3" t="s">
        <v>906</v>
      </c>
      <c r="C550" s="3" t="s">
        <v>907</v>
      </c>
      <c r="G550" s="4">
        <v>11.765000000000001</v>
      </c>
      <c r="H550" s="17">
        <v>3.0687708052395098E-3</v>
      </c>
      <c r="I550" s="17">
        <v>3.0687708052395098E-3</v>
      </c>
      <c r="J550" s="3">
        <v>1.2359077939557025E-3</v>
      </c>
      <c r="K550" s="3">
        <v>1.8538616909335535E-3</v>
      </c>
      <c r="L550" s="3">
        <v>2</v>
      </c>
      <c r="N550" s="5">
        <v>549</v>
      </c>
      <c r="O550" s="18"/>
      <c r="P550" s="17"/>
    </row>
    <row r="551" spans="1:16" x14ac:dyDescent="0.35">
      <c r="A551" s="3" t="s">
        <v>1423</v>
      </c>
      <c r="B551" s="3" t="s">
        <v>908</v>
      </c>
      <c r="C551" s="3" t="s">
        <v>45</v>
      </c>
      <c r="G551" s="4">
        <v>0.2</v>
      </c>
      <c r="H551" s="17">
        <v>5.5008188644390154E-3</v>
      </c>
      <c r="I551" s="17">
        <v>5.5008188644390154E-3</v>
      </c>
      <c r="J551" s="3">
        <v>2.212510584845377E-3</v>
      </c>
      <c r="K551" s="3">
        <v>3.318765877268065E-3</v>
      </c>
      <c r="L551" s="3">
        <v>2</v>
      </c>
      <c r="N551" s="5">
        <v>550</v>
      </c>
      <c r="O551" s="18"/>
      <c r="P551" s="17"/>
    </row>
    <row r="552" spans="1:16" x14ac:dyDescent="0.35">
      <c r="A552" s="3" t="s">
        <v>1424</v>
      </c>
      <c r="B552" s="3" t="s">
        <v>909</v>
      </c>
      <c r="C552" s="3" t="s">
        <v>910</v>
      </c>
      <c r="D552" s="3">
        <v>7.43</v>
      </c>
      <c r="E552" s="3">
        <v>7.43</v>
      </c>
      <c r="F552" s="3">
        <v>7.43</v>
      </c>
      <c r="G552" s="4">
        <v>7.43</v>
      </c>
      <c r="H552" s="17">
        <v>5.9477279332608071E-3</v>
      </c>
      <c r="I552" s="17">
        <v>5.9477279332608071E-3</v>
      </c>
      <c r="J552" s="3">
        <v>4.758182346608646E-3</v>
      </c>
      <c r="K552" s="3">
        <v>7.1372735199129681E-3</v>
      </c>
      <c r="L552" s="3">
        <v>2</v>
      </c>
      <c r="N552" s="5">
        <v>551</v>
      </c>
      <c r="O552" s="18"/>
      <c r="P552" s="17"/>
    </row>
    <row r="553" spans="1:16" x14ac:dyDescent="0.35">
      <c r="A553" s="3" t="s">
        <v>1425</v>
      </c>
      <c r="B553" s="3" t="s">
        <v>911</v>
      </c>
      <c r="C553" s="3" t="s">
        <v>49</v>
      </c>
      <c r="G553" s="4">
        <v>5.3450000000000006</v>
      </c>
      <c r="H553" s="17">
        <v>1.079152381874708E-3</v>
      </c>
      <c r="I553" s="17">
        <v>1.079152381874708E-3</v>
      </c>
      <c r="J553" s="3">
        <v>8.6332190549976643E-4</v>
      </c>
      <c r="K553" s="3">
        <v>1.2949828582496496E-3</v>
      </c>
      <c r="L553" s="3">
        <v>2</v>
      </c>
      <c r="N553" s="5">
        <v>552</v>
      </c>
      <c r="O553" s="18"/>
      <c r="P553" s="17"/>
    </row>
    <row r="554" spans="1:16" x14ac:dyDescent="0.35">
      <c r="A554" s="3" t="s">
        <v>1426</v>
      </c>
      <c r="B554" s="3" t="s">
        <v>911</v>
      </c>
      <c r="C554" s="3" t="s">
        <v>52</v>
      </c>
      <c r="D554" s="3">
        <v>1.41</v>
      </c>
      <c r="E554" s="3">
        <v>1.41</v>
      </c>
      <c r="F554" s="3">
        <v>1.41</v>
      </c>
      <c r="G554" s="4">
        <v>1.41</v>
      </c>
      <c r="H554" s="17">
        <v>3.3620098149280599E-3</v>
      </c>
      <c r="I554" s="17">
        <v>3.3620098149280599E-3</v>
      </c>
      <c r="J554" s="3">
        <v>8.8114380779693831E-4</v>
      </c>
      <c r="K554" s="3">
        <v>1.3217157116954073E-3</v>
      </c>
      <c r="L554" s="3">
        <v>2</v>
      </c>
      <c r="N554" s="5">
        <v>553</v>
      </c>
      <c r="O554" s="18"/>
      <c r="P554" s="17"/>
    </row>
    <row r="555" spans="1:16" x14ac:dyDescent="0.35">
      <c r="A555" s="3" t="s">
        <v>1427</v>
      </c>
      <c r="B555" s="3" t="s">
        <v>912</v>
      </c>
      <c r="C555" s="3" t="s">
        <v>913</v>
      </c>
      <c r="G555" s="4">
        <v>9.67</v>
      </c>
      <c r="H555" s="17">
        <v>2.0721594415813179E-4</v>
      </c>
      <c r="I555" s="17">
        <v>2.0721594415813179E-4</v>
      </c>
      <c r="J555" s="3">
        <f>I555*0.1</f>
        <v>2.0721594415813182E-5</v>
      </c>
      <c r="K555" s="3">
        <f>I555*10</f>
        <v>2.072159441581318E-3</v>
      </c>
      <c r="L555" s="3">
        <v>2</v>
      </c>
      <c r="N555" s="5">
        <v>554</v>
      </c>
      <c r="O555" s="18"/>
      <c r="P555" s="17"/>
    </row>
    <row r="556" spans="1:16" x14ac:dyDescent="0.35">
      <c r="A556" s="3" t="s">
        <v>1428</v>
      </c>
      <c r="B556" s="3" t="s">
        <v>914</v>
      </c>
      <c r="C556" s="3" t="s">
        <v>915</v>
      </c>
      <c r="G556" s="4">
        <v>0.1</v>
      </c>
      <c r="H556" s="17">
        <v>7.8339690437049365E-4</v>
      </c>
      <c r="I556" s="17">
        <v>7.8339690437049365E-4</v>
      </c>
      <c r="J556" s="3">
        <v>1.9710500158237412E-4</v>
      </c>
      <c r="K556" s="3">
        <v>2.9565750237356116E-4</v>
      </c>
      <c r="L556" s="3">
        <v>2</v>
      </c>
      <c r="N556" s="5">
        <v>555</v>
      </c>
      <c r="O556" s="18"/>
      <c r="P556" s="17"/>
    </row>
    <row r="557" spans="1:16" x14ac:dyDescent="0.35">
      <c r="A557" s="3" t="s">
        <v>1429</v>
      </c>
      <c r="B557" s="3" t="s">
        <v>894</v>
      </c>
      <c r="C557" s="3" t="s">
        <v>914</v>
      </c>
      <c r="G557" s="4">
        <v>13.884999999999931</v>
      </c>
      <c r="H557" s="17">
        <v>6.4551283880484823E-3</v>
      </c>
      <c r="I557" s="17">
        <v>6.4551283880484823E-3</v>
      </c>
      <c r="J557" s="3">
        <v>1.3632946644468178E-3</v>
      </c>
      <c r="K557" s="3">
        <v>1.2910256776096965E-2</v>
      </c>
      <c r="L557" s="3">
        <v>2</v>
      </c>
      <c r="N557" s="5">
        <v>556</v>
      </c>
      <c r="O557" s="18"/>
      <c r="P557" s="17"/>
    </row>
    <row r="558" spans="1:16" x14ac:dyDescent="0.35">
      <c r="A558" s="3" t="s">
        <v>1430</v>
      </c>
      <c r="B558" s="3" t="s">
        <v>916</v>
      </c>
      <c r="C558" s="3" t="s">
        <v>917</v>
      </c>
      <c r="G558" s="4">
        <v>0.1</v>
      </c>
      <c r="H558" s="17">
        <v>2.467021664864674E-3</v>
      </c>
      <c r="I558" s="17">
        <v>2.467021664864674E-3</v>
      </c>
      <c r="J558" s="3">
        <v>1.9736173318917393E-3</v>
      </c>
      <c r="K558" s="3">
        <v>2.9604259978376086E-3</v>
      </c>
      <c r="L558" s="3">
        <v>2</v>
      </c>
      <c r="N558" s="5">
        <v>557</v>
      </c>
      <c r="O558" s="18"/>
      <c r="P558" s="17"/>
    </row>
    <row r="559" spans="1:16" x14ac:dyDescent="0.35">
      <c r="A559" s="3" t="s">
        <v>1431</v>
      </c>
      <c r="B559" s="3" t="s">
        <v>918</v>
      </c>
      <c r="C559" s="3" t="s">
        <v>880</v>
      </c>
      <c r="D559" s="3">
        <v>16.989999999999998</v>
      </c>
      <c r="E559" s="3">
        <v>16.989999999999998</v>
      </c>
      <c r="F559" s="3">
        <v>16.989999999999998</v>
      </c>
      <c r="G559" s="4">
        <v>16.989999999999998</v>
      </c>
      <c r="H559" s="19">
        <v>5.6629542554258009E-4</v>
      </c>
      <c r="I559" s="19">
        <v>5.6629542554258009E-4</v>
      </c>
      <c r="J559" s="3">
        <v>4.1331467550907806E-4</v>
      </c>
      <c r="K559" s="3">
        <v>6.1997201326361709E-4</v>
      </c>
      <c r="L559" s="3">
        <v>2</v>
      </c>
      <c r="N559" s="5">
        <v>558</v>
      </c>
      <c r="O559" s="18"/>
      <c r="P559" s="17"/>
    </row>
    <row r="560" spans="1:16" x14ac:dyDescent="0.35">
      <c r="A560" s="3" t="s">
        <v>1432</v>
      </c>
      <c r="B560" s="3" t="s">
        <v>919</v>
      </c>
      <c r="C560" s="3" t="s">
        <v>30</v>
      </c>
      <c r="G560" s="4">
        <v>180.24</v>
      </c>
      <c r="H560" s="17">
        <v>1.5409725663756749E-3</v>
      </c>
      <c r="I560" s="17">
        <v>1.5409725663756749E-3</v>
      </c>
      <c r="J560" s="3">
        <v>1.9260032822180442E-3</v>
      </c>
      <c r="K560" s="3">
        <v>2.889004923327066E-3</v>
      </c>
      <c r="L560" s="3">
        <v>2</v>
      </c>
      <c r="N560" s="5">
        <v>559</v>
      </c>
      <c r="O560" s="18"/>
      <c r="P560" s="17"/>
    </row>
    <row r="561" spans="1:16" x14ac:dyDescent="0.35">
      <c r="A561" s="3" t="s">
        <v>1433</v>
      </c>
      <c r="B561" s="3" t="s">
        <v>917</v>
      </c>
      <c r="C561" s="3" t="s">
        <v>920</v>
      </c>
      <c r="G561" s="4">
        <v>16.2</v>
      </c>
      <c r="H561" s="17">
        <v>4.3022052393907391E-4</v>
      </c>
      <c r="I561" s="17">
        <v>4.3022052393907391E-4</v>
      </c>
      <c r="J561" s="3">
        <f>I561*0.1</f>
        <v>4.3022052393907391E-5</v>
      </c>
      <c r="K561" s="3">
        <f>I561*10</f>
        <v>4.3022052393907389E-3</v>
      </c>
      <c r="L561" s="3">
        <v>2</v>
      </c>
      <c r="N561" s="5">
        <v>560</v>
      </c>
      <c r="O561" s="18"/>
      <c r="P561" s="17"/>
    </row>
    <row r="562" spans="1:16" x14ac:dyDescent="0.35">
      <c r="A562" s="3" t="s">
        <v>1434</v>
      </c>
      <c r="B562" s="3" t="s">
        <v>921</v>
      </c>
      <c r="C562" s="3" t="s">
        <v>909</v>
      </c>
      <c r="G562" s="4">
        <v>14.185</v>
      </c>
      <c r="H562" s="17">
        <v>2.515722581731941E-3</v>
      </c>
      <c r="I562" s="17">
        <v>2.515722581731941E-3</v>
      </c>
      <c r="J562" s="3">
        <v>4.1439432124498509E-3</v>
      </c>
      <c r="K562" s="3">
        <v>6.2159148186747759E-3</v>
      </c>
      <c r="L562" s="3">
        <v>2</v>
      </c>
      <c r="N562" s="5">
        <v>561</v>
      </c>
      <c r="O562" s="18"/>
      <c r="P562" s="17"/>
    </row>
    <row r="563" spans="1:16" x14ac:dyDescent="0.35">
      <c r="A563" s="3" t="s">
        <v>1435</v>
      </c>
      <c r="B563" s="3" t="s">
        <v>901</v>
      </c>
      <c r="C563" s="3" t="s">
        <v>885</v>
      </c>
      <c r="G563" s="4">
        <v>3.0900000000000012</v>
      </c>
      <c r="H563" s="17">
        <v>1.0053782262100981E-3</v>
      </c>
      <c r="I563" s="17">
        <v>1.0053782262100981E-3</v>
      </c>
      <c r="J563" s="3">
        <v>5.3844683620537495E-4</v>
      </c>
      <c r="K563" s="3">
        <v>8.0767025430806226E-4</v>
      </c>
      <c r="L563" s="3">
        <v>2</v>
      </c>
      <c r="N563" s="5">
        <v>562</v>
      </c>
      <c r="O563" s="18"/>
      <c r="P563" s="17"/>
    </row>
    <row r="564" spans="1:16" x14ac:dyDescent="0.35">
      <c r="A564" s="7" t="s">
        <v>1436</v>
      </c>
      <c r="B564" s="7" t="s">
        <v>922</v>
      </c>
      <c r="C564" s="7" t="s">
        <v>67</v>
      </c>
      <c r="D564" s="7"/>
      <c r="E564" s="7"/>
      <c r="F564" s="7"/>
      <c r="G564" s="11">
        <v>39.430000000000007</v>
      </c>
      <c r="H564" s="9">
        <v>80</v>
      </c>
      <c r="I564" s="22">
        <v>1.4024436581028011E-4</v>
      </c>
      <c r="J564" s="7">
        <v>6.8737816492844929E-6</v>
      </c>
      <c r="K564" s="7">
        <v>2.1000000000000001E-2</v>
      </c>
      <c r="L564" s="7">
        <v>2</v>
      </c>
      <c r="M564" s="7"/>
      <c r="N564" s="8">
        <v>563</v>
      </c>
      <c r="O564" s="18"/>
      <c r="P564" s="17"/>
    </row>
    <row r="565" spans="1:16" x14ac:dyDescent="0.35">
      <c r="A565" s="3" t="s">
        <v>1437</v>
      </c>
      <c r="B565" s="3" t="s">
        <v>441</v>
      </c>
      <c r="C565" s="3" t="s">
        <v>923</v>
      </c>
      <c r="G565" s="4">
        <v>11.880000000000029</v>
      </c>
      <c r="H565" s="17">
        <v>3.005674792093377E-4</v>
      </c>
      <c r="I565" s="17">
        <v>3.005674792093377E-4</v>
      </c>
      <c r="J565" s="3">
        <f>I565*0.1</f>
        <v>3.0056747920933772E-5</v>
      </c>
      <c r="K565" s="3">
        <f>I565*10</f>
        <v>3.0056747920933768E-3</v>
      </c>
      <c r="L565" s="3">
        <v>2</v>
      </c>
      <c r="N565" s="5">
        <v>564</v>
      </c>
      <c r="O565" s="18"/>
      <c r="P565" s="17"/>
    </row>
    <row r="566" spans="1:16" x14ac:dyDescent="0.35">
      <c r="A566" s="3" t="s">
        <v>1438</v>
      </c>
      <c r="B566" s="3" t="s">
        <v>924</v>
      </c>
      <c r="C566" s="3" t="s">
        <v>925</v>
      </c>
      <c r="G566" s="4">
        <v>11.68000000000003</v>
      </c>
      <c r="H566" s="17">
        <v>4.2210463554294914E-3</v>
      </c>
      <c r="I566" s="17">
        <v>4.2210463554294914E-3</v>
      </c>
      <c r="J566" s="3">
        <v>6.7284007262292424E-3</v>
      </c>
      <c r="K566" s="3">
        <v>1.0092601089343862E-2</v>
      </c>
      <c r="L566" s="3">
        <v>2</v>
      </c>
      <c r="N566" s="5">
        <v>565</v>
      </c>
      <c r="O566" s="18"/>
      <c r="P566" s="17"/>
    </row>
    <row r="567" spans="1:16" x14ac:dyDescent="0.35">
      <c r="A567" s="3" t="s">
        <v>1439</v>
      </c>
      <c r="B567" s="3" t="s">
        <v>440</v>
      </c>
      <c r="C567" s="3" t="s">
        <v>917</v>
      </c>
      <c r="G567" s="4">
        <v>16.100000000000001</v>
      </c>
      <c r="H567" s="17">
        <v>4.274640351029775E-4</v>
      </c>
      <c r="I567" s="17">
        <v>4.274640351029775E-4</v>
      </c>
      <c r="J567" s="3">
        <f>I567*0.1</f>
        <v>4.2746403510297753E-5</v>
      </c>
      <c r="K567" s="3">
        <f>I567*10</f>
        <v>4.2746403510297752E-3</v>
      </c>
      <c r="L567" s="3">
        <v>2</v>
      </c>
      <c r="N567" s="5">
        <v>566</v>
      </c>
      <c r="O567" s="18"/>
      <c r="P567" s="17"/>
    </row>
    <row r="568" spans="1:16" x14ac:dyDescent="0.35">
      <c r="A568" s="3" t="s">
        <v>1440</v>
      </c>
      <c r="B568" s="3" t="s">
        <v>926</v>
      </c>
      <c r="C568" s="3" t="s">
        <v>924</v>
      </c>
      <c r="G568" s="4">
        <v>11.58000000000003</v>
      </c>
      <c r="H568" s="17">
        <v>7.9179906589983817E-3</v>
      </c>
      <c r="I568" s="17">
        <v>7.9179906589983817E-3</v>
      </c>
      <c r="J568" s="3">
        <v>4.2581876058817155E-3</v>
      </c>
      <c r="K568" s="3">
        <v>6.387281408822572E-3</v>
      </c>
      <c r="L568" s="3">
        <v>2</v>
      </c>
      <c r="N568" s="5">
        <v>567</v>
      </c>
      <c r="O568" s="18"/>
      <c r="P568" s="17"/>
    </row>
    <row r="569" spans="1:16" x14ac:dyDescent="0.35">
      <c r="A569" s="3" t="s">
        <v>1441</v>
      </c>
      <c r="B569" s="3" t="s">
        <v>439</v>
      </c>
      <c r="C569" s="3" t="s">
        <v>77</v>
      </c>
      <c r="G569" s="4">
        <v>14.96999999999997</v>
      </c>
      <c r="H569" s="17">
        <v>2.7037596043459887E-4</v>
      </c>
      <c r="I569" s="17">
        <v>2.7037596043459887E-4</v>
      </c>
      <c r="J569" s="3">
        <f>I569*0.1</f>
        <v>2.7037596043459887E-5</v>
      </c>
      <c r="K569" s="3">
        <f>I569*10</f>
        <v>2.7037596043459886E-3</v>
      </c>
      <c r="L569" s="3">
        <v>2</v>
      </c>
      <c r="N569" s="5">
        <v>568</v>
      </c>
      <c r="O569" s="18"/>
      <c r="P569" s="17"/>
    </row>
    <row r="570" spans="1:16" x14ac:dyDescent="0.35">
      <c r="A570" s="3" t="s">
        <v>1442</v>
      </c>
      <c r="B570" s="3" t="s">
        <v>920</v>
      </c>
      <c r="C570" s="3" t="s">
        <v>918</v>
      </c>
      <c r="D570" s="3">
        <v>16.100000000000001</v>
      </c>
      <c r="E570" s="3">
        <v>16.100000000000001</v>
      </c>
      <c r="F570" s="3">
        <v>16.100000000000001</v>
      </c>
      <c r="G570" s="4">
        <v>16.100000000000001</v>
      </c>
      <c r="H570" s="17">
        <v>6.4541014582195229E-4</v>
      </c>
      <c r="I570" s="17">
        <v>6.4541014582195229E-4</v>
      </c>
      <c r="J570" s="3">
        <f>I570*0.1</f>
        <v>6.4541014582195238E-5</v>
      </c>
      <c r="K570" s="3">
        <f>I570*10</f>
        <v>6.4541014582195234E-3</v>
      </c>
      <c r="L570" s="3">
        <v>2</v>
      </c>
      <c r="N570" s="5">
        <v>569</v>
      </c>
      <c r="O570" s="18"/>
      <c r="P570" s="17"/>
    </row>
    <row r="571" spans="1:16" x14ac:dyDescent="0.35">
      <c r="A571" s="3" t="s">
        <v>1443</v>
      </c>
      <c r="B571" s="3" t="s">
        <v>927</v>
      </c>
      <c r="C571" s="3" t="s">
        <v>926</v>
      </c>
      <c r="G571" s="4">
        <v>0.1</v>
      </c>
      <c r="H571" s="17">
        <v>2.4907699388370581E-2</v>
      </c>
      <c r="I571" s="17">
        <v>2.4907699388370581E-2</v>
      </c>
      <c r="J571" s="3">
        <v>1.9926159510696467E-2</v>
      </c>
      <c r="K571" s="3">
        <v>2.9889239266044695E-2</v>
      </c>
      <c r="L571" s="3">
        <v>2</v>
      </c>
      <c r="N571" s="5">
        <v>570</v>
      </c>
      <c r="O571" s="18"/>
      <c r="P571" s="17"/>
    </row>
    <row r="572" spans="1:16" x14ac:dyDescent="0.35">
      <c r="A572" s="3" t="s">
        <v>1444</v>
      </c>
      <c r="B572" s="3" t="s">
        <v>816</v>
      </c>
      <c r="C572" s="3" t="s">
        <v>843</v>
      </c>
      <c r="D572" s="3">
        <v>4.4800000000000004</v>
      </c>
      <c r="E572" s="3">
        <v>4.4800000000000004</v>
      </c>
      <c r="F572" s="3">
        <v>4.4800000000000004</v>
      </c>
      <c r="G572" s="4">
        <v>4.4800000000000004</v>
      </c>
      <c r="H572" s="17">
        <v>9.1389092127756291E-4</v>
      </c>
      <c r="I572" s="17">
        <v>9.1389092127756291E-4</v>
      </c>
      <c r="J572" s="3">
        <v>7.3111273702205039E-4</v>
      </c>
      <c r="K572" s="3">
        <v>1.0966691055330755E-3</v>
      </c>
      <c r="L572" s="3">
        <v>2</v>
      </c>
      <c r="N572" s="5">
        <v>571</v>
      </c>
      <c r="O572" s="18"/>
      <c r="P572" s="17"/>
    </row>
    <row r="573" spans="1:16" s="15" customFormat="1" x14ac:dyDescent="0.35">
      <c r="A573" s="15" t="s">
        <v>1445</v>
      </c>
      <c r="B573" s="15" t="s">
        <v>422</v>
      </c>
      <c r="C573" s="15" t="s">
        <v>251</v>
      </c>
      <c r="D573" s="3">
        <v>63.35</v>
      </c>
      <c r="E573" s="3">
        <v>63.35</v>
      </c>
      <c r="F573" s="3">
        <v>63.35</v>
      </c>
      <c r="G573" s="4">
        <v>63.35</v>
      </c>
      <c r="H573" s="24">
        <v>2.883229276815503E-3</v>
      </c>
      <c r="I573" s="24">
        <v>2.883229276815503E-3</v>
      </c>
      <c r="J573" s="15">
        <v>1.4416146384077515E-3</v>
      </c>
      <c r="K573" s="15">
        <v>5.766458553631006E-3</v>
      </c>
      <c r="L573" s="15">
        <v>2</v>
      </c>
      <c r="M573" s="15" t="s">
        <v>2059</v>
      </c>
      <c r="N573" s="16">
        <v>572</v>
      </c>
      <c r="O573" s="25"/>
      <c r="P573" s="24"/>
    </row>
    <row r="574" spans="1:16" s="14" customFormat="1" x14ac:dyDescent="0.35">
      <c r="A574" s="14" t="s">
        <v>1446</v>
      </c>
      <c r="B574" s="14" t="s">
        <v>928</v>
      </c>
      <c r="C574" s="14" t="s">
        <v>929</v>
      </c>
      <c r="D574" s="3">
        <v>6</v>
      </c>
      <c r="E574" s="3">
        <v>6</v>
      </c>
      <c r="F574" s="3">
        <v>6</v>
      </c>
      <c r="G574" s="4">
        <v>6</v>
      </c>
      <c r="H574" s="8">
        <v>0.1</v>
      </c>
      <c r="I574" s="20">
        <v>4.2192450934818403E-4</v>
      </c>
      <c r="J574" s="14">
        <v>2.1096225467409201E-4</v>
      </c>
      <c r="K574" s="14">
        <v>2.221560938985526</v>
      </c>
      <c r="L574" s="14">
        <v>2</v>
      </c>
      <c r="M574" s="14" t="s">
        <v>2060</v>
      </c>
      <c r="N574" s="5">
        <v>573</v>
      </c>
      <c r="O574" s="21"/>
      <c r="P574" s="20"/>
    </row>
    <row r="575" spans="1:16" x14ac:dyDescent="0.35">
      <c r="A575" s="3" t="s">
        <v>1447</v>
      </c>
      <c r="B575" s="3" t="s">
        <v>751</v>
      </c>
      <c r="C575" s="3" t="s">
        <v>732</v>
      </c>
      <c r="D575" s="3">
        <v>14.27</v>
      </c>
      <c r="E575" s="3">
        <v>14.27</v>
      </c>
      <c r="F575" s="3">
        <v>14.27</v>
      </c>
      <c r="G575" s="4">
        <v>14.27</v>
      </c>
      <c r="H575" s="17">
        <v>1.1740917879718589E-3</v>
      </c>
      <c r="I575" s="17">
        <v>1.1740917879718589E-3</v>
      </c>
      <c r="J575" s="3">
        <v>1.3281114397699417E-3</v>
      </c>
      <c r="K575" s="3">
        <v>1.9921671596549121E-3</v>
      </c>
      <c r="L575" s="3">
        <v>2</v>
      </c>
      <c r="N575" s="5">
        <v>574</v>
      </c>
      <c r="O575" s="18"/>
      <c r="P575" s="17"/>
    </row>
    <row r="576" spans="1:16" x14ac:dyDescent="0.35">
      <c r="A576" s="3" t="s">
        <v>1448</v>
      </c>
      <c r="B576" s="3" t="s">
        <v>888</v>
      </c>
      <c r="C576" s="3" t="s">
        <v>930</v>
      </c>
      <c r="G576" s="4">
        <v>84.049999999999841</v>
      </c>
      <c r="H576" s="17">
        <v>1.24222989914358E-3</v>
      </c>
      <c r="I576" s="17">
        <v>1.24222989914358E-3</v>
      </c>
      <c r="J576" s="3">
        <v>1.0228410132739018E-3</v>
      </c>
      <c r="K576" s="3">
        <v>1.5342615199108523E-3</v>
      </c>
      <c r="L576" s="3">
        <v>2</v>
      </c>
      <c r="N576" s="5">
        <v>575</v>
      </c>
      <c r="O576" s="18"/>
      <c r="P576" s="17"/>
    </row>
    <row r="577" spans="1:16" x14ac:dyDescent="0.35">
      <c r="A577" s="3" t="s">
        <v>1449</v>
      </c>
      <c r="B577" s="3" t="s">
        <v>859</v>
      </c>
      <c r="C577" s="3" t="s">
        <v>931</v>
      </c>
      <c r="G577" s="4">
        <v>0.1</v>
      </c>
      <c r="H577" s="19">
        <v>9.7164959291252285E-3</v>
      </c>
      <c r="I577" s="19">
        <v>9.7164959291252285E-3</v>
      </c>
      <c r="J577" s="3">
        <v>7.6229396607990375E-3</v>
      </c>
      <c r="K577" s="3">
        <v>1.9432991858250457E-2</v>
      </c>
      <c r="L577" s="3">
        <v>2</v>
      </c>
      <c r="N577" s="5">
        <v>576</v>
      </c>
      <c r="O577" s="18"/>
      <c r="P577" s="17"/>
    </row>
    <row r="578" spans="1:16" x14ac:dyDescent="0.35">
      <c r="A578" s="3" t="s">
        <v>1450</v>
      </c>
      <c r="B578" s="3" t="s">
        <v>859</v>
      </c>
      <c r="C578" s="3" t="s">
        <v>860</v>
      </c>
      <c r="G578" s="4">
        <v>11.94</v>
      </c>
      <c r="H578" s="17">
        <v>2.678018590359033E-4</v>
      </c>
      <c r="I578" s="17">
        <v>2.678018590359033E-4</v>
      </c>
      <c r="J578" s="3">
        <f>I578*0.1</f>
        <v>2.678018590359033E-5</v>
      </c>
      <c r="K578" s="3">
        <f>I578*10</f>
        <v>2.6780185903590333E-3</v>
      </c>
      <c r="L578" s="3">
        <v>2</v>
      </c>
      <c r="N578" s="5">
        <v>577</v>
      </c>
      <c r="O578" s="18"/>
      <c r="P578" s="17"/>
    </row>
    <row r="579" spans="1:16" s="15" customFormat="1" ht="16" x14ac:dyDescent="0.35">
      <c r="A579" s="15" t="s">
        <v>182</v>
      </c>
      <c r="B579" s="15" t="s">
        <v>927</v>
      </c>
      <c r="C579" s="15" t="s">
        <v>2053</v>
      </c>
      <c r="D579" s="3">
        <v>46.48</v>
      </c>
      <c r="E579" s="3">
        <v>46.48</v>
      </c>
      <c r="F579" s="3">
        <v>46.48</v>
      </c>
      <c r="G579" s="4">
        <v>46.48</v>
      </c>
      <c r="H579" s="8">
        <v>8</v>
      </c>
      <c r="I579" s="24">
        <v>2.4670487831033368E-3</v>
      </c>
      <c r="J579" s="15">
        <v>1.2335243915516684E-3</v>
      </c>
      <c r="K579" s="15">
        <v>1.2335243915516684E-2</v>
      </c>
      <c r="L579" s="15">
        <v>2</v>
      </c>
      <c r="M579" s="25" t="s">
        <v>2077</v>
      </c>
      <c r="N579" s="16">
        <v>578</v>
      </c>
      <c r="O579" s="25"/>
      <c r="P579" s="24"/>
    </row>
    <row r="580" spans="1:16" s="14" customFormat="1" x14ac:dyDescent="0.35">
      <c r="A580" s="14" t="s">
        <v>144</v>
      </c>
      <c r="B580" s="14" t="s">
        <v>44</v>
      </c>
      <c r="C580" s="14" t="s">
        <v>114</v>
      </c>
      <c r="D580" s="3"/>
      <c r="E580" s="3"/>
      <c r="F580" s="3">
        <v>3</v>
      </c>
      <c r="G580" s="4">
        <v>112.6299999999999</v>
      </c>
      <c r="H580" s="8">
        <v>0.1</v>
      </c>
      <c r="I580" s="20">
        <v>2.4476534186008304E-3</v>
      </c>
      <c r="J580" s="14">
        <v>1.2238267093004152E-3</v>
      </c>
      <c r="K580" s="14">
        <v>1.5673036356091379E-3</v>
      </c>
      <c r="L580" s="14">
        <v>2</v>
      </c>
      <c r="M580" s="14" t="s">
        <v>2061</v>
      </c>
      <c r="N580" s="5">
        <v>579</v>
      </c>
      <c r="O580" s="21"/>
      <c r="P580" s="20"/>
    </row>
    <row r="581" spans="1:16" s="14" customFormat="1" x14ac:dyDescent="0.35">
      <c r="A581" s="14" t="s">
        <v>2046</v>
      </c>
      <c r="B581" s="14" t="s">
        <v>2044</v>
      </c>
      <c r="C581" s="14" t="s">
        <v>2045</v>
      </c>
      <c r="D581" s="3"/>
      <c r="E581" s="3"/>
      <c r="F581" s="3">
        <v>24.86</v>
      </c>
      <c r="G581" s="4">
        <v>8.699999999999994</v>
      </c>
      <c r="H581" s="8">
        <v>90</v>
      </c>
      <c r="I581" s="20">
        <v>2.4476534186008304E-3</v>
      </c>
      <c r="J581" s="14">
        <v>1.2238267093004152E-3</v>
      </c>
      <c r="K581" s="14">
        <v>1.4178959086948602</v>
      </c>
      <c r="L581" s="14">
        <v>2</v>
      </c>
      <c r="M581" s="14" t="s">
        <v>2062</v>
      </c>
      <c r="N581" s="5">
        <v>580</v>
      </c>
      <c r="O581" s="21"/>
      <c r="P581" s="20"/>
    </row>
    <row r="582" spans="1:16" s="14" customFormat="1" x14ac:dyDescent="0.35">
      <c r="A582" s="14" t="s">
        <v>2049</v>
      </c>
      <c r="B582" s="14" t="s">
        <v>2047</v>
      </c>
      <c r="C582" s="14" t="s">
        <v>2048</v>
      </c>
      <c r="D582" s="3"/>
      <c r="E582" s="3"/>
      <c r="F582" s="3">
        <v>13.86</v>
      </c>
      <c r="G582" s="4">
        <v>0.1</v>
      </c>
      <c r="H582" s="8">
        <v>2</v>
      </c>
      <c r="I582" s="20">
        <v>2.4476534186008304E-3</v>
      </c>
      <c r="J582" s="14">
        <v>1.2238267093004152E-3</v>
      </c>
      <c r="K582" s="14">
        <v>7520.1364226882552</v>
      </c>
      <c r="L582" s="14">
        <v>2</v>
      </c>
      <c r="M582" s="14" t="s">
        <v>2063</v>
      </c>
      <c r="N582" s="5">
        <v>581</v>
      </c>
      <c r="O582" s="21"/>
      <c r="P582" s="20"/>
    </row>
    <row r="583" spans="1:16" s="14" customFormat="1" x14ac:dyDescent="0.35">
      <c r="A583" s="14" t="s">
        <v>2052</v>
      </c>
      <c r="B583" s="14" t="s">
        <v>2050</v>
      </c>
      <c r="C583" s="14" t="s">
        <v>2051</v>
      </c>
      <c r="D583" s="3"/>
      <c r="E583" s="3"/>
      <c r="F583" s="3">
        <v>11</v>
      </c>
      <c r="G583" s="4">
        <v>0.1</v>
      </c>
      <c r="H583" s="8">
        <v>13</v>
      </c>
      <c r="I583" s="20">
        <v>2.4476534186008304E-3</v>
      </c>
      <c r="J583" s="14">
        <v>1.2238267093004152E-3</v>
      </c>
      <c r="K583" s="14">
        <v>6087.5277959104424</v>
      </c>
      <c r="L583" s="14">
        <v>2</v>
      </c>
      <c r="M583" s="14" t="s">
        <v>2064</v>
      </c>
      <c r="N583" s="5">
        <v>582</v>
      </c>
      <c r="O583" s="21"/>
      <c r="P583" s="20"/>
    </row>
    <row r="584" spans="1:16" x14ac:dyDescent="0.35">
      <c r="A584" s="3" t="s">
        <v>1451</v>
      </c>
      <c r="B584" s="3" t="s">
        <v>932</v>
      </c>
      <c r="C584" s="3" t="s">
        <v>253</v>
      </c>
      <c r="G584" s="4">
        <v>278.43999999999988</v>
      </c>
      <c r="H584" s="17">
        <v>7.4762076350030331E-3</v>
      </c>
      <c r="I584" s="17">
        <v>7.4762076350030331E-3</v>
      </c>
      <c r="J584" s="3">
        <v>8.9352975426926001E-4</v>
      </c>
      <c r="K584" s="3">
        <v>1.3402946314038898E-3</v>
      </c>
      <c r="L584" s="3">
        <v>2</v>
      </c>
      <c r="N584" s="5">
        <v>583</v>
      </c>
      <c r="O584" s="18"/>
      <c r="P584" s="17"/>
    </row>
    <row r="585" spans="1:16" x14ac:dyDescent="0.35">
      <c r="A585" s="3" t="s">
        <v>1452</v>
      </c>
      <c r="B585" s="3" t="s">
        <v>20</v>
      </c>
      <c r="C585" s="3" t="s">
        <v>922</v>
      </c>
      <c r="G585" s="4">
        <v>74.290000000000006</v>
      </c>
      <c r="H585" s="19">
        <v>3.7841729813007499E-2</v>
      </c>
      <c r="I585" s="19">
        <v>3.7841729813007499E-2</v>
      </c>
      <c r="J585" s="3">
        <v>1.892086490650375E-2</v>
      </c>
      <c r="K585" s="3">
        <v>3.5542042734680729E-2</v>
      </c>
      <c r="L585" s="3">
        <v>2</v>
      </c>
      <c r="N585" s="5">
        <v>584</v>
      </c>
      <c r="O585" s="18"/>
      <c r="P585" s="17"/>
    </row>
    <row r="586" spans="1:16" x14ac:dyDescent="0.35">
      <c r="A586" s="7" t="s">
        <v>1453</v>
      </c>
      <c r="B586" s="7" t="s">
        <v>253</v>
      </c>
      <c r="C586" s="7" t="s">
        <v>933</v>
      </c>
      <c r="D586" s="7"/>
      <c r="E586" s="7"/>
      <c r="F586" s="7"/>
      <c r="G586" s="11">
        <v>1.36</v>
      </c>
      <c r="H586" s="9">
        <v>30</v>
      </c>
      <c r="I586" s="22">
        <v>1.3822950915892401E-3</v>
      </c>
      <c r="J586" s="7">
        <v>1.680470676096619E-4</v>
      </c>
      <c r="K586" s="7">
        <v>12</v>
      </c>
      <c r="L586" s="7">
        <v>2</v>
      </c>
      <c r="M586" s="7"/>
      <c r="N586" s="8">
        <v>585</v>
      </c>
      <c r="O586" s="18"/>
      <c r="P586" s="17"/>
    </row>
    <row r="587" spans="1:16" x14ac:dyDescent="0.35">
      <c r="A587" s="7" t="s">
        <v>1454</v>
      </c>
      <c r="B587" s="7" t="s">
        <v>25</v>
      </c>
      <c r="C587" s="7" t="s">
        <v>23</v>
      </c>
      <c r="D587" s="7"/>
      <c r="E587" s="7"/>
      <c r="F587" s="7"/>
      <c r="G587" s="11">
        <v>1.599999999999943</v>
      </c>
      <c r="H587" s="9">
        <v>30</v>
      </c>
      <c r="I587" s="22">
        <v>1.6237814810548382E-2</v>
      </c>
      <c r="J587" s="7">
        <v>2.0250648910019597E-6</v>
      </c>
      <c r="K587" s="7">
        <v>10</v>
      </c>
      <c r="L587" s="7">
        <v>2</v>
      </c>
      <c r="M587" s="7"/>
      <c r="N587" s="8">
        <v>586</v>
      </c>
      <c r="O587" s="18"/>
      <c r="P587" s="17"/>
    </row>
    <row r="588" spans="1:16" x14ac:dyDescent="0.35">
      <c r="A588" s="3" t="s">
        <v>1455</v>
      </c>
      <c r="B588" s="3" t="s">
        <v>254</v>
      </c>
      <c r="C588" s="3" t="s">
        <v>67</v>
      </c>
      <c r="D588" s="3">
        <v>2.4300000000000002</v>
      </c>
      <c r="E588" s="3">
        <v>2.4300000000000002</v>
      </c>
      <c r="F588" s="3">
        <v>2.4300000000000002</v>
      </c>
      <c r="G588" s="4">
        <v>2.4300000000000002</v>
      </c>
      <c r="H588" s="17">
        <v>1.583265861195064E-3</v>
      </c>
      <c r="I588" s="17">
        <v>1.583265861195064E-3</v>
      </c>
      <c r="J588" s="3">
        <v>1.2666126889560514E-3</v>
      </c>
      <c r="K588" s="3">
        <v>1.8999190334340766E-3</v>
      </c>
      <c r="L588" s="3">
        <v>2</v>
      </c>
      <c r="N588" s="5">
        <v>587</v>
      </c>
      <c r="O588" s="18"/>
      <c r="P588" s="17"/>
    </row>
    <row r="589" spans="1:16" x14ac:dyDescent="0.35">
      <c r="A589" s="3" t="s">
        <v>1456</v>
      </c>
      <c r="B589" s="3" t="s">
        <v>254</v>
      </c>
      <c r="C589" s="3" t="s">
        <v>85</v>
      </c>
      <c r="G589" s="4">
        <v>0.2</v>
      </c>
      <c r="H589" s="17">
        <v>2.6396530047808888E-3</v>
      </c>
      <c r="I589" s="17">
        <v>2.6396530047808888E-3</v>
      </c>
      <c r="J589" s="3">
        <v>2.111722403824711E-3</v>
      </c>
      <c r="K589" s="3">
        <v>3.1675836057370667E-3</v>
      </c>
      <c r="L589" s="3">
        <v>2</v>
      </c>
      <c r="N589" s="5">
        <v>588</v>
      </c>
      <c r="O589" s="18"/>
      <c r="P589" s="17"/>
    </row>
    <row r="590" spans="1:16" x14ac:dyDescent="0.35">
      <c r="A590" s="3" t="s">
        <v>1457</v>
      </c>
      <c r="B590" s="3" t="s">
        <v>26</v>
      </c>
      <c r="C590" s="3" t="s">
        <v>424</v>
      </c>
      <c r="G590" s="4">
        <v>2.8600000000000021</v>
      </c>
      <c r="H590" s="19">
        <v>3.6209140652190677E-2</v>
      </c>
      <c r="I590" s="19">
        <v>3.6209140652190677E-2</v>
      </c>
      <c r="J590" s="3">
        <v>1.8104570326095339E-2</v>
      </c>
      <c r="K590" s="3">
        <v>1.9888243424961895E-2</v>
      </c>
      <c r="L590" s="3">
        <v>2</v>
      </c>
      <c r="N590" s="5">
        <v>589</v>
      </c>
      <c r="O590" s="18"/>
      <c r="P590" s="17"/>
    </row>
    <row r="591" spans="1:16" x14ac:dyDescent="0.35">
      <c r="A591" s="3" t="s">
        <v>1458</v>
      </c>
      <c r="B591" s="3" t="s">
        <v>306</v>
      </c>
      <c r="C591" s="3" t="s">
        <v>701</v>
      </c>
      <c r="D591" s="3">
        <v>154.28</v>
      </c>
      <c r="E591" s="3">
        <v>154.28</v>
      </c>
      <c r="F591" s="3">
        <v>154.28</v>
      </c>
      <c r="G591" s="4">
        <v>154.28</v>
      </c>
      <c r="H591" s="17">
        <v>2.6839652394045912E-3</v>
      </c>
      <c r="I591" s="17">
        <v>2.6839652394045912E-3</v>
      </c>
      <c r="J591" s="3">
        <v>4.2004634814549876E-3</v>
      </c>
      <c r="K591" s="3">
        <v>6.3006952221824819E-3</v>
      </c>
      <c r="L591" s="3">
        <v>2</v>
      </c>
      <c r="N591" s="5">
        <v>590</v>
      </c>
      <c r="O591" s="18"/>
      <c r="P591" s="17"/>
    </row>
    <row r="592" spans="1:16" s="14" customFormat="1" x14ac:dyDescent="0.35">
      <c r="A592" s="14" t="s">
        <v>1459</v>
      </c>
      <c r="B592" s="14" t="s">
        <v>934</v>
      </c>
      <c r="C592" s="14" t="s">
        <v>56</v>
      </c>
      <c r="D592" s="3"/>
      <c r="E592" s="3"/>
      <c r="F592" s="3">
        <v>2.44</v>
      </c>
      <c r="G592" s="4">
        <v>12.80500000000006</v>
      </c>
      <c r="H592" s="20">
        <v>2.25364423287812E-2</v>
      </c>
      <c r="I592" s="20">
        <v>2.25364423287812E-2</v>
      </c>
      <c r="J592" s="14">
        <v>1.12682211643906E-2</v>
      </c>
      <c r="K592" s="14">
        <v>4.5072884657562401E-2</v>
      </c>
      <c r="L592" s="14">
        <v>2</v>
      </c>
      <c r="M592" s="14" t="s">
        <v>2065</v>
      </c>
      <c r="N592" s="5">
        <v>591</v>
      </c>
      <c r="O592" s="21"/>
      <c r="P592" s="20"/>
    </row>
    <row r="593" spans="1:16" x14ac:dyDescent="0.35">
      <c r="A593" s="3" t="s">
        <v>1460</v>
      </c>
      <c r="B593" s="3" t="s">
        <v>702</v>
      </c>
      <c r="C593" s="3" t="s">
        <v>703</v>
      </c>
      <c r="D593" s="3">
        <v>105.69</v>
      </c>
      <c r="E593" s="3">
        <v>105.69</v>
      </c>
      <c r="F593" s="3">
        <v>105.69</v>
      </c>
      <c r="G593" s="4">
        <v>105.69</v>
      </c>
      <c r="H593" s="17">
        <v>3.2780325055462981E-3</v>
      </c>
      <c r="I593" s="17">
        <v>3.2780325055462981E-3</v>
      </c>
      <c r="J593" s="3">
        <v>1.768973645369416E-3</v>
      </c>
      <c r="K593" s="3">
        <v>2.653460468054124E-3</v>
      </c>
      <c r="L593" s="3">
        <v>2</v>
      </c>
      <c r="N593" s="5">
        <v>592</v>
      </c>
      <c r="O593" s="18"/>
      <c r="P593" s="17"/>
    </row>
    <row r="594" spans="1:16" x14ac:dyDescent="0.35">
      <c r="A594" s="3" t="s">
        <v>1461</v>
      </c>
      <c r="B594" s="3" t="s">
        <v>516</v>
      </c>
      <c r="C594" s="3" t="s">
        <v>935</v>
      </c>
      <c r="D594" s="3">
        <v>161.26</v>
      </c>
      <c r="E594" s="3">
        <v>161.26</v>
      </c>
      <c r="F594" s="3">
        <v>161.26</v>
      </c>
      <c r="G594" s="4">
        <v>161.26</v>
      </c>
      <c r="H594" s="17">
        <v>1.5915791133323181E-2</v>
      </c>
      <c r="I594" s="17">
        <v>1.5915791133323181E-2</v>
      </c>
      <c r="J594" s="3">
        <v>2.5293172823543139E-2</v>
      </c>
      <c r="K594" s="3">
        <v>3.7939759235314702E-2</v>
      </c>
      <c r="L594" s="3">
        <v>2</v>
      </c>
      <c r="N594" s="5">
        <v>593</v>
      </c>
      <c r="O594" s="18"/>
      <c r="P594" s="17"/>
    </row>
    <row r="595" spans="1:16" x14ac:dyDescent="0.35">
      <c r="A595" s="3" t="s">
        <v>1462</v>
      </c>
      <c r="B595" s="3" t="s">
        <v>29</v>
      </c>
      <c r="C595" s="3" t="s">
        <v>48</v>
      </c>
      <c r="G595" s="4">
        <v>285.67500000000013</v>
      </c>
      <c r="H595" s="17">
        <v>3.6646372928519702E-3</v>
      </c>
      <c r="I595" s="17">
        <v>3.6646372928519702E-3</v>
      </c>
      <c r="J595" s="3">
        <v>5.8258467621515632E-3</v>
      </c>
      <c r="K595" s="3">
        <v>8.7387701432273448E-3</v>
      </c>
      <c r="L595" s="3">
        <v>2</v>
      </c>
      <c r="N595" s="5">
        <v>594</v>
      </c>
      <c r="O595" s="18"/>
      <c r="P595" s="17"/>
    </row>
    <row r="596" spans="1:16" s="15" customFormat="1" ht="16" x14ac:dyDescent="0.35">
      <c r="A596" s="15" t="s">
        <v>1463</v>
      </c>
      <c r="B596" s="15" t="s">
        <v>30</v>
      </c>
      <c r="C596" s="15" t="s">
        <v>42</v>
      </c>
      <c r="D596" s="3">
        <v>193.36</v>
      </c>
      <c r="E596" s="3">
        <v>193.36</v>
      </c>
      <c r="F596" s="3">
        <v>193.36</v>
      </c>
      <c r="G596" s="4">
        <v>193.36</v>
      </c>
      <c r="H596" s="24">
        <v>4.5406538098422553E-3</v>
      </c>
      <c r="I596" s="24">
        <v>4.5406538098422553E-3</v>
      </c>
      <c r="J596" s="15">
        <v>3.6325230478738042E-3</v>
      </c>
      <c r="K596" s="15">
        <v>2.2703269049211276E-2</v>
      </c>
      <c r="L596" s="15">
        <v>2</v>
      </c>
      <c r="M596" s="25" t="s">
        <v>2078</v>
      </c>
      <c r="N596" s="16">
        <v>595</v>
      </c>
      <c r="O596" s="25"/>
      <c r="P596" s="24"/>
    </row>
    <row r="597" spans="1:16" x14ac:dyDescent="0.35">
      <c r="A597" s="3" t="s">
        <v>1464</v>
      </c>
      <c r="B597" s="3" t="s">
        <v>31</v>
      </c>
      <c r="C597" s="3" t="s">
        <v>252</v>
      </c>
      <c r="G597" s="4">
        <v>6.75</v>
      </c>
      <c r="H597" s="17">
        <v>4.5024521970494183E-2</v>
      </c>
      <c r="I597" s="17">
        <v>4.5024521970494183E-2</v>
      </c>
      <c r="J597" s="3">
        <v>5.1853701773883404E-2</v>
      </c>
      <c r="K597" s="3">
        <v>7.7780552660825092E-2</v>
      </c>
      <c r="L597" s="3">
        <v>2</v>
      </c>
      <c r="N597" s="5">
        <v>596</v>
      </c>
      <c r="O597" s="18"/>
      <c r="P597" s="17"/>
    </row>
    <row r="598" spans="1:16" x14ac:dyDescent="0.35">
      <c r="A598" s="3" t="s">
        <v>1465</v>
      </c>
      <c r="B598" s="3" t="s">
        <v>34</v>
      </c>
      <c r="C598" s="3" t="s">
        <v>24</v>
      </c>
      <c r="G598" s="4">
        <v>7.02</v>
      </c>
      <c r="H598" s="17">
        <v>1.9185369785500089E-2</v>
      </c>
      <c r="I598" s="17">
        <v>1.9185369785500089E-2</v>
      </c>
      <c r="J598" s="3">
        <v>1.5348295828400072E-2</v>
      </c>
      <c r="K598" s="3">
        <v>2.3022443742600106E-2</v>
      </c>
      <c r="L598" s="3">
        <v>2</v>
      </c>
      <c r="N598" s="5">
        <v>597</v>
      </c>
      <c r="O598" s="18"/>
      <c r="P598" s="17"/>
    </row>
    <row r="599" spans="1:16" x14ac:dyDescent="0.35">
      <c r="A599" s="3" t="s">
        <v>1466</v>
      </c>
      <c r="B599" s="3" t="s">
        <v>33</v>
      </c>
      <c r="C599" s="3" t="s">
        <v>31</v>
      </c>
      <c r="D599" s="3">
        <v>6.65</v>
      </c>
      <c r="E599" s="3">
        <v>6.65</v>
      </c>
      <c r="F599" s="3">
        <v>6.65</v>
      </c>
      <c r="G599" s="4">
        <v>6.65</v>
      </c>
      <c r="H599" s="17">
        <v>3.7653029877729373E-2</v>
      </c>
      <c r="I599" s="17">
        <v>3.7653029877729373E-2</v>
      </c>
      <c r="J599" s="3">
        <v>1.5313392895463457E-2</v>
      </c>
      <c r="K599" s="3">
        <v>2.2970089343195183E-2</v>
      </c>
      <c r="L599" s="3">
        <v>2</v>
      </c>
      <c r="N599" s="5">
        <v>598</v>
      </c>
      <c r="O599" s="18"/>
      <c r="P599" s="17"/>
    </row>
    <row r="600" spans="1:16" x14ac:dyDescent="0.35">
      <c r="A600" s="3" t="s">
        <v>1467</v>
      </c>
      <c r="B600" s="3" t="s">
        <v>33</v>
      </c>
      <c r="C600" s="3" t="s">
        <v>34</v>
      </c>
      <c r="G600" s="4">
        <v>4.6199999999999424</v>
      </c>
      <c r="H600" s="19">
        <v>1.2921252654866501E-2</v>
      </c>
      <c r="I600" s="19">
        <v>1.2921252654866501E-2</v>
      </c>
      <c r="J600" s="3">
        <v>7.6117769614369515E-3</v>
      </c>
      <c r="K600" s="3">
        <v>1.1417665442155427E-2</v>
      </c>
      <c r="L600" s="3">
        <v>2</v>
      </c>
      <c r="N600" s="5">
        <v>599</v>
      </c>
      <c r="O600" s="18"/>
      <c r="P600" s="17"/>
    </row>
    <row r="601" spans="1:16" x14ac:dyDescent="0.35">
      <c r="A601" s="3" t="s">
        <v>1468</v>
      </c>
      <c r="B601" s="3" t="s">
        <v>936</v>
      </c>
      <c r="C601" s="3" t="s">
        <v>22</v>
      </c>
      <c r="G601" s="4">
        <v>0.76000000000000045</v>
      </c>
      <c r="H601" s="17">
        <v>1.350571959349778E-2</v>
      </c>
      <c r="I601" s="17">
        <v>1.350571959349778E-2</v>
      </c>
      <c r="J601" s="3">
        <v>7.6862551945356657E-3</v>
      </c>
      <c r="K601" s="3">
        <v>1.1529382791803497E-2</v>
      </c>
      <c r="L601" s="3">
        <v>2</v>
      </c>
      <c r="N601" s="5">
        <v>600</v>
      </c>
      <c r="O601" s="18"/>
      <c r="P601" s="17"/>
    </row>
    <row r="602" spans="1:16" x14ac:dyDescent="0.35">
      <c r="A602" s="3" t="s">
        <v>1469</v>
      </c>
      <c r="B602" s="3" t="s">
        <v>23</v>
      </c>
      <c r="C602" s="3" t="s">
        <v>936</v>
      </c>
      <c r="G602" s="4">
        <v>0.1</v>
      </c>
      <c r="H602" s="19">
        <v>8.8215201178783523E-3</v>
      </c>
      <c r="I602" s="19">
        <v>8.8215201178783523E-3</v>
      </c>
      <c r="J602" s="3">
        <v>5.141680207241154E-3</v>
      </c>
      <c r="K602" s="3">
        <v>7.7125203108617292E-3</v>
      </c>
      <c r="L602" s="3">
        <v>2</v>
      </c>
      <c r="N602" s="5">
        <v>601</v>
      </c>
      <c r="O602" s="18"/>
      <c r="P602" s="17"/>
    </row>
    <row r="603" spans="1:16" x14ac:dyDescent="0.35">
      <c r="A603" s="3" t="s">
        <v>1470</v>
      </c>
      <c r="B603" s="3" t="s">
        <v>37</v>
      </c>
      <c r="C603" s="3" t="s">
        <v>426</v>
      </c>
      <c r="G603" s="4">
        <v>0.1</v>
      </c>
      <c r="H603" s="17">
        <v>4.1114535460671113E-2</v>
      </c>
      <c r="I603" s="17">
        <v>4.1114535460671113E-2</v>
      </c>
      <c r="J603" s="3">
        <v>2.0557267730335557E-2</v>
      </c>
      <c r="K603" s="3">
        <v>8.2229070921342226E-2</v>
      </c>
      <c r="L603" s="3">
        <v>2</v>
      </c>
      <c r="N603" s="5">
        <v>602</v>
      </c>
      <c r="O603" s="18"/>
      <c r="P603" s="17"/>
    </row>
    <row r="604" spans="1:16" x14ac:dyDescent="0.35">
      <c r="A604" s="3" t="s">
        <v>1471</v>
      </c>
      <c r="B604" s="3" t="s">
        <v>37</v>
      </c>
      <c r="C604" s="3" t="s">
        <v>426</v>
      </c>
      <c r="G604" s="4">
        <v>2.300000000000058</v>
      </c>
      <c r="H604" s="17">
        <v>1.5531530540034141E-2</v>
      </c>
      <c r="I604" s="17">
        <v>1.5531530540034141E-2</v>
      </c>
      <c r="J604" s="3">
        <v>3.106306108006828E-3</v>
      </c>
      <c r="K604" s="3">
        <v>3.1063061080068281E-2</v>
      </c>
      <c r="L604" s="3">
        <v>2</v>
      </c>
      <c r="N604" s="5">
        <v>603</v>
      </c>
      <c r="O604" s="18"/>
      <c r="P604" s="17"/>
    </row>
    <row r="605" spans="1:16" x14ac:dyDescent="0.35">
      <c r="A605" s="3" t="s">
        <v>1472</v>
      </c>
      <c r="B605" s="3" t="s">
        <v>37</v>
      </c>
      <c r="C605" s="3" t="s">
        <v>38</v>
      </c>
      <c r="G605" s="4">
        <v>7.8900000000000023</v>
      </c>
      <c r="H605" s="17">
        <v>4.0782613506441818E-3</v>
      </c>
      <c r="I605" s="17">
        <v>4.0782613506441818E-3</v>
      </c>
      <c r="J605" s="3">
        <v>6.1149707186378176E-3</v>
      </c>
      <c r="K605" s="3">
        <v>9.1724560779567251E-3</v>
      </c>
      <c r="L605" s="3">
        <v>2</v>
      </c>
      <c r="N605" s="5">
        <v>604</v>
      </c>
      <c r="O605" s="18"/>
      <c r="P605" s="17"/>
    </row>
    <row r="606" spans="1:16" x14ac:dyDescent="0.35">
      <c r="A606" s="3" t="s">
        <v>1473</v>
      </c>
      <c r="B606" s="3" t="s">
        <v>38</v>
      </c>
      <c r="C606" s="3" t="s">
        <v>21</v>
      </c>
      <c r="G606" s="4">
        <v>11.52</v>
      </c>
      <c r="H606" s="17">
        <v>0.26312553221960511</v>
      </c>
      <c r="I606" s="17">
        <v>0.26312553221960511</v>
      </c>
      <c r="J606" s="3">
        <v>0.10910415119003697</v>
      </c>
      <c r="K606" s="3">
        <v>0.16365622678505543</v>
      </c>
      <c r="L606" s="3">
        <v>2</v>
      </c>
      <c r="N606" s="5">
        <v>605</v>
      </c>
      <c r="O606" s="18"/>
      <c r="P606" s="17"/>
    </row>
    <row r="607" spans="1:16" x14ac:dyDescent="0.35">
      <c r="A607" s="3" t="s">
        <v>1474</v>
      </c>
      <c r="B607" s="3" t="s">
        <v>40</v>
      </c>
      <c r="C607" s="3" t="s">
        <v>38</v>
      </c>
      <c r="G607" s="4">
        <v>3.629999999999999</v>
      </c>
      <c r="H607" s="17">
        <v>1.42095577638121E-2</v>
      </c>
      <c r="I607" s="17">
        <v>1.42095577638121E-2</v>
      </c>
      <c r="J607" s="3">
        <v>6.0263572492798272E-3</v>
      </c>
      <c r="K607" s="3">
        <v>9.03953587391974E-3</v>
      </c>
      <c r="L607" s="3">
        <v>2</v>
      </c>
      <c r="N607" s="5">
        <v>606</v>
      </c>
      <c r="O607" s="18"/>
      <c r="P607" s="17"/>
    </row>
    <row r="608" spans="1:16" x14ac:dyDescent="0.35">
      <c r="A608" s="3" t="s">
        <v>1475</v>
      </c>
      <c r="B608" s="3" t="s">
        <v>40</v>
      </c>
      <c r="C608" s="3" t="s">
        <v>21</v>
      </c>
      <c r="D608" s="3">
        <v>1.59</v>
      </c>
      <c r="E608" s="3">
        <v>1.59</v>
      </c>
      <c r="F608" s="3">
        <v>1.59</v>
      </c>
      <c r="G608" s="4">
        <v>1.59</v>
      </c>
      <c r="H608" s="19">
        <v>7.1871242130836635E-2</v>
      </c>
      <c r="I608" s="19">
        <v>7.1871242130836635E-2</v>
      </c>
      <c r="J608" s="3">
        <v>5.7496993704669312E-2</v>
      </c>
      <c r="K608" s="3">
        <v>8.6245490557003965E-2</v>
      </c>
      <c r="L608" s="3">
        <v>2</v>
      </c>
      <c r="N608" s="5">
        <v>607</v>
      </c>
      <c r="O608" s="18"/>
      <c r="P608" s="17"/>
    </row>
    <row r="609" spans="1:16" x14ac:dyDescent="0.35">
      <c r="A609" s="3" t="s">
        <v>1476</v>
      </c>
      <c r="B609" s="3" t="s">
        <v>41</v>
      </c>
      <c r="C609" s="3" t="s">
        <v>37</v>
      </c>
      <c r="G609" s="4">
        <v>10.29000000000006</v>
      </c>
      <c r="H609" s="17">
        <v>5.0433939652547409E-3</v>
      </c>
      <c r="I609" s="17">
        <v>5.0433939652547409E-3</v>
      </c>
      <c r="J609" s="3">
        <v>1.1894290882375688E-3</v>
      </c>
      <c r="K609" s="3">
        <v>1.0086787930509482E-2</v>
      </c>
      <c r="L609" s="3">
        <v>2</v>
      </c>
      <c r="N609" s="5">
        <v>608</v>
      </c>
      <c r="O609" s="18"/>
      <c r="P609" s="17"/>
    </row>
    <row r="610" spans="1:16" x14ac:dyDescent="0.35">
      <c r="A610" s="3" t="s">
        <v>1477</v>
      </c>
      <c r="B610" s="3" t="s">
        <v>41</v>
      </c>
      <c r="C610" s="3" t="s">
        <v>255</v>
      </c>
      <c r="G610" s="4">
        <v>0.46000000000000052</v>
      </c>
      <c r="H610" s="19">
        <v>2.0719095907697691E-2</v>
      </c>
      <c r="I610" s="19">
        <v>2.0719095907697691E-2</v>
      </c>
      <c r="J610" s="3">
        <v>1.4729434733449768E-2</v>
      </c>
      <c r="K610" s="3">
        <v>2.2094152100174649E-2</v>
      </c>
      <c r="L610" s="3">
        <v>2</v>
      </c>
      <c r="N610" s="5">
        <v>609</v>
      </c>
      <c r="O610" s="18"/>
      <c r="P610" s="17"/>
    </row>
    <row r="611" spans="1:16" x14ac:dyDescent="0.35">
      <c r="A611" s="3" t="s">
        <v>1478</v>
      </c>
      <c r="B611" s="3" t="s">
        <v>255</v>
      </c>
      <c r="C611" s="3" t="s">
        <v>937</v>
      </c>
      <c r="G611" s="4">
        <v>2.3400000000000012</v>
      </c>
      <c r="H611" s="17">
        <v>2.5180891312639401E-3</v>
      </c>
      <c r="I611" s="17">
        <v>2.5180891312639401E-3</v>
      </c>
      <c r="J611" s="3">
        <v>1.6649406812364329E-3</v>
      </c>
      <c r="K611" s="3">
        <v>2.4974110218546489E-3</v>
      </c>
      <c r="L611" s="3">
        <v>2</v>
      </c>
      <c r="N611" s="5">
        <v>610</v>
      </c>
      <c r="O611" s="18"/>
      <c r="P611" s="17"/>
    </row>
    <row r="612" spans="1:16" x14ac:dyDescent="0.35">
      <c r="A612" s="3" t="s">
        <v>1479</v>
      </c>
      <c r="B612" s="3" t="s">
        <v>47</v>
      </c>
      <c r="C612" s="3" t="s">
        <v>43</v>
      </c>
      <c r="D612" s="3">
        <v>2.08</v>
      </c>
      <c r="E612" s="3">
        <v>2.08</v>
      </c>
      <c r="F612" s="3">
        <v>2.08</v>
      </c>
      <c r="G612" s="4">
        <v>2.08</v>
      </c>
      <c r="H612" s="17">
        <v>4.2211981561223874E-3</v>
      </c>
      <c r="I612" s="17">
        <v>4.2211981561223874E-3</v>
      </c>
      <c r="J612" s="3">
        <v>3.3769585248979101E-3</v>
      </c>
      <c r="K612" s="3">
        <v>5.0654377873468647E-3</v>
      </c>
      <c r="L612" s="3">
        <v>2</v>
      </c>
      <c r="N612" s="5">
        <v>611</v>
      </c>
      <c r="O612" s="18"/>
      <c r="P612" s="17"/>
    </row>
    <row r="613" spans="1:16" x14ac:dyDescent="0.35">
      <c r="A613" s="34" t="s">
        <v>1480</v>
      </c>
      <c r="B613" s="34" t="s">
        <v>937</v>
      </c>
      <c r="C613" s="34" t="s">
        <v>908</v>
      </c>
      <c r="D613" s="34"/>
      <c r="E613" s="34"/>
      <c r="F613" s="7">
        <v>3.85</v>
      </c>
      <c r="G613" s="35">
        <v>0.1</v>
      </c>
      <c r="H613" s="36">
        <v>1.681700067488175E-2</v>
      </c>
      <c r="I613" s="36">
        <v>1.681700067488175E-2</v>
      </c>
      <c r="J613" s="34">
        <v>1.3030587746917186</v>
      </c>
      <c r="K613" s="34">
        <v>1.9545881620375776</v>
      </c>
      <c r="L613" s="34">
        <v>2</v>
      </c>
      <c r="M613" s="34" t="s">
        <v>2089</v>
      </c>
      <c r="N613" s="37">
        <v>612</v>
      </c>
      <c r="O613" s="18"/>
      <c r="P613" s="17"/>
    </row>
    <row r="614" spans="1:16" x14ac:dyDescent="0.35">
      <c r="A614" s="3" t="s">
        <v>1481</v>
      </c>
      <c r="B614" s="3" t="s">
        <v>45</v>
      </c>
      <c r="C614" s="3" t="s">
        <v>46</v>
      </c>
      <c r="G614" s="4">
        <v>0.36500000000002891</v>
      </c>
      <c r="H614" s="17">
        <v>1.4234246941298479E-2</v>
      </c>
      <c r="I614" s="17">
        <v>1.4234246941298479E-2</v>
      </c>
      <c r="J614" s="3">
        <v>5.8230552606054285E-3</v>
      </c>
      <c r="K614" s="3">
        <v>8.7345828909081418E-3</v>
      </c>
      <c r="L614" s="3">
        <v>2</v>
      </c>
      <c r="N614" s="5">
        <v>613</v>
      </c>
      <c r="O614" s="18"/>
      <c r="P614" s="17"/>
    </row>
    <row r="615" spans="1:16" x14ac:dyDescent="0.35">
      <c r="A615" s="7" t="s">
        <v>1482</v>
      </c>
      <c r="B615" s="7" t="s">
        <v>890</v>
      </c>
      <c r="C615" s="7" t="s">
        <v>30</v>
      </c>
      <c r="D615" s="7"/>
      <c r="E615" s="7"/>
      <c r="F615" s="7"/>
      <c r="G615" s="11">
        <v>13.12</v>
      </c>
      <c r="H615" s="9">
        <v>601</v>
      </c>
      <c r="I615" s="22">
        <v>8.7643388798772062</v>
      </c>
      <c r="J615" s="22">
        <v>8.7643388798772062</v>
      </c>
      <c r="K615" s="7">
        <v>10</v>
      </c>
      <c r="L615" s="7">
        <v>2</v>
      </c>
      <c r="M615" s="7"/>
      <c r="N615" s="8">
        <v>614</v>
      </c>
      <c r="O615" s="18"/>
      <c r="P615" s="17"/>
    </row>
    <row r="616" spans="1:16" x14ac:dyDescent="0.35">
      <c r="A616" s="3" t="s">
        <v>1483</v>
      </c>
      <c r="B616" s="3" t="s">
        <v>427</v>
      </c>
      <c r="C616" s="3" t="s">
        <v>51</v>
      </c>
      <c r="G616" s="4">
        <v>0.1</v>
      </c>
      <c r="H616" s="17">
        <v>1.4812279889498341E-2</v>
      </c>
      <c r="I616" s="17">
        <v>1.4812279889498341E-2</v>
      </c>
      <c r="J616" s="3">
        <v>7.8720501473014143E-3</v>
      </c>
      <c r="K616" s="3">
        <v>2.9624559778996681E-2</v>
      </c>
      <c r="L616" s="3">
        <v>2</v>
      </c>
      <c r="N616" s="5">
        <v>615</v>
      </c>
      <c r="O616" s="18"/>
      <c r="P616" s="17"/>
    </row>
    <row r="617" spans="1:16" x14ac:dyDescent="0.35">
      <c r="A617" s="3" t="s">
        <v>1484</v>
      </c>
      <c r="B617" s="3" t="s">
        <v>56</v>
      </c>
      <c r="C617" s="3" t="s">
        <v>47</v>
      </c>
      <c r="D617" s="3">
        <v>1.5349999999999999</v>
      </c>
      <c r="E617" s="3">
        <v>1.5349999999999999</v>
      </c>
      <c r="F617" s="3">
        <v>1.5349999999999999</v>
      </c>
      <c r="G617" s="4">
        <v>1.5349999999999999</v>
      </c>
      <c r="H617" s="17">
        <v>4.5272220107880019E-2</v>
      </c>
      <c r="I617" s="17">
        <v>4.5272220107880019E-2</v>
      </c>
      <c r="J617" s="3">
        <v>3.621777608630402E-2</v>
      </c>
      <c r="K617" s="3">
        <v>5.4326664129456019E-2</v>
      </c>
      <c r="L617" s="3">
        <v>2</v>
      </c>
      <c r="N617" s="5">
        <v>616</v>
      </c>
      <c r="O617" s="18"/>
      <c r="P617" s="17"/>
    </row>
    <row r="618" spans="1:16" x14ac:dyDescent="0.35">
      <c r="A618" s="3" t="s">
        <v>1485</v>
      </c>
      <c r="B618" s="3" t="s">
        <v>49</v>
      </c>
      <c r="C618" s="3" t="s">
        <v>47</v>
      </c>
      <c r="G618" s="4">
        <v>0.54499999999999982</v>
      </c>
      <c r="H618" s="17">
        <v>8.6001148666098801E-3</v>
      </c>
      <c r="I618" s="17">
        <v>8.6001148666098801E-3</v>
      </c>
      <c r="J618" s="3">
        <v>6.8800918932879042E-3</v>
      </c>
      <c r="K618" s="3">
        <v>1.0320137839931855E-2</v>
      </c>
      <c r="L618" s="3">
        <v>2</v>
      </c>
      <c r="N618" s="5">
        <v>617</v>
      </c>
      <c r="O618" s="18"/>
      <c r="P618" s="17"/>
    </row>
    <row r="619" spans="1:16" x14ac:dyDescent="0.35">
      <c r="A619" s="3" t="s">
        <v>1486</v>
      </c>
      <c r="B619" s="3" t="s">
        <v>49</v>
      </c>
      <c r="C619" s="3" t="s">
        <v>53</v>
      </c>
      <c r="G619" s="4">
        <v>4.8000000000000007</v>
      </c>
      <c r="H619" s="17">
        <v>9.1990914622828227E-3</v>
      </c>
      <c r="I619" s="17">
        <v>9.1990914622828227E-3</v>
      </c>
      <c r="J619" s="3">
        <v>3.9903671981102616E-3</v>
      </c>
      <c r="K619" s="3">
        <v>5.9855507971653928E-3</v>
      </c>
      <c r="L619" s="3">
        <v>2</v>
      </c>
      <c r="N619" s="5">
        <v>618</v>
      </c>
      <c r="O619" s="18"/>
      <c r="P619" s="17"/>
    </row>
    <row r="620" spans="1:16" x14ac:dyDescent="0.35">
      <c r="A620" s="3" t="s">
        <v>1487</v>
      </c>
      <c r="B620" s="3" t="s">
        <v>50</v>
      </c>
      <c r="C620" s="3" t="s">
        <v>27</v>
      </c>
      <c r="G620" s="4">
        <v>0.2</v>
      </c>
      <c r="H620" s="17">
        <v>2.5155431356675109E-3</v>
      </c>
      <c r="I620" s="17">
        <v>2.5155431356675109E-3</v>
      </c>
      <c r="J620" s="3">
        <v>5.0310862713350219E-4</v>
      </c>
      <c r="K620" s="3">
        <v>5.0310862713350219E-3</v>
      </c>
      <c r="L620" s="3">
        <v>2</v>
      </c>
      <c r="N620" s="5">
        <v>619</v>
      </c>
      <c r="O620" s="18"/>
      <c r="P620" s="17"/>
    </row>
    <row r="621" spans="1:16" s="15" customFormat="1" x14ac:dyDescent="0.35">
      <c r="A621" s="15" t="s">
        <v>1488</v>
      </c>
      <c r="B621" s="15" t="s">
        <v>48</v>
      </c>
      <c r="C621" s="15" t="s">
        <v>111</v>
      </c>
      <c r="D621" s="3">
        <v>288.05</v>
      </c>
      <c r="E621" s="3">
        <v>288.05</v>
      </c>
      <c r="F621" s="3">
        <v>288.05</v>
      </c>
      <c r="G621" s="4">
        <v>288.05</v>
      </c>
      <c r="H621" s="27">
        <v>3.241236723442743E-3</v>
      </c>
      <c r="I621" s="27">
        <v>3.241236723442743E-3</v>
      </c>
      <c r="J621" s="15">
        <v>6.4824734468854855E-4</v>
      </c>
      <c r="K621" s="15">
        <v>3.8894840681312913E-3</v>
      </c>
      <c r="L621" s="15">
        <v>2</v>
      </c>
      <c r="M621" s="15" t="s">
        <v>2066</v>
      </c>
      <c r="N621" s="16">
        <v>620</v>
      </c>
      <c r="O621" s="25"/>
      <c r="P621" s="24"/>
    </row>
    <row r="622" spans="1:16" x14ac:dyDescent="0.35">
      <c r="A622" s="3" t="s">
        <v>1489</v>
      </c>
      <c r="B622" s="3" t="s">
        <v>52</v>
      </c>
      <c r="C622" s="3" t="s">
        <v>27</v>
      </c>
      <c r="G622" s="4">
        <v>1.51</v>
      </c>
      <c r="H622" s="17">
        <v>3.5327019147260602E-3</v>
      </c>
      <c r="I622" s="17">
        <v>3.5327019147260602E-3</v>
      </c>
      <c r="J622" s="3">
        <v>7.0654038294521208E-4</v>
      </c>
      <c r="K622" s="3">
        <v>7.0654038294521203E-3</v>
      </c>
      <c r="L622" s="3">
        <v>2</v>
      </c>
      <c r="N622" s="5">
        <v>621</v>
      </c>
      <c r="O622" s="18"/>
      <c r="P622" s="17"/>
    </row>
    <row r="623" spans="1:16" x14ac:dyDescent="0.35">
      <c r="A623" s="3" t="s">
        <v>1490</v>
      </c>
      <c r="B623" s="3" t="s">
        <v>52</v>
      </c>
      <c r="C623" s="3" t="s">
        <v>50</v>
      </c>
      <c r="G623" s="4">
        <v>0.1</v>
      </c>
      <c r="H623" s="17">
        <v>6.9800686074427184E-3</v>
      </c>
      <c r="I623" s="17">
        <v>6.9800686074427184E-3</v>
      </c>
      <c r="J623" s="3">
        <v>7.8102034106291426E-3</v>
      </c>
      <c r="K623" s="3">
        <v>1.1715305115943713E-2</v>
      </c>
      <c r="L623" s="3">
        <v>2</v>
      </c>
      <c r="N623" s="5">
        <v>622</v>
      </c>
      <c r="O623" s="18"/>
      <c r="P623" s="17"/>
    </row>
    <row r="624" spans="1:16" x14ac:dyDescent="0.35">
      <c r="A624" s="3" t="s">
        <v>1491</v>
      </c>
      <c r="B624" s="3" t="s">
        <v>55</v>
      </c>
      <c r="C624" s="3" t="s">
        <v>51</v>
      </c>
      <c r="G624" s="4">
        <v>0.1</v>
      </c>
      <c r="H624" s="17">
        <v>8.9524728399815508E-3</v>
      </c>
      <c r="I624" s="17">
        <v>8.9524728399815508E-3</v>
      </c>
      <c r="J624" s="3">
        <v>1.4864446851576216E-3</v>
      </c>
      <c r="K624" s="3">
        <v>1.7904945679963102E-2</v>
      </c>
      <c r="L624" s="3">
        <v>2</v>
      </c>
      <c r="N624" s="5">
        <v>623</v>
      </c>
      <c r="O624" s="18"/>
      <c r="P624" s="17"/>
    </row>
    <row r="625" spans="1:16" x14ac:dyDescent="0.35">
      <c r="A625" s="3" t="s">
        <v>1492</v>
      </c>
      <c r="B625" s="3" t="s">
        <v>56</v>
      </c>
      <c r="C625" s="3" t="s">
        <v>53</v>
      </c>
      <c r="G625" s="4">
        <v>11.27000000000006</v>
      </c>
      <c r="H625" s="17">
        <v>3.1710163828784298E-2</v>
      </c>
      <c r="I625" s="17">
        <v>3.1710163828784298E-2</v>
      </c>
      <c r="J625" s="3">
        <v>2.15599779399194E-2</v>
      </c>
      <c r="K625" s="3">
        <v>3.23399669098791E-2</v>
      </c>
      <c r="L625" s="3">
        <v>2</v>
      </c>
      <c r="N625" s="5">
        <v>624</v>
      </c>
      <c r="O625" s="18"/>
      <c r="P625" s="17"/>
    </row>
    <row r="626" spans="1:16" x14ac:dyDescent="0.35">
      <c r="A626" s="3" t="s">
        <v>1493</v>
      </c>
      <c r="B626" s="3" t="s">
        <v>428</v>
      </c>
      <c r="C626" s="3" t="s">
        <v>429</v>
      </c>
      <c r="G626" s="4">
        <v>0.1</v>
      </c>
      <c r="H626" s="17">
        <v>1.2470912989307749E-2</v>
      </c>
      <c r="I626" s="17">
        <v>1.2470912989307749E-2</v>
      </c>
      <c r="J626" s="3">
        <v>9.9767303914461997E-3</v>
      </c>
      <c r="K626" s="3">
        <v>1.4965095587169299E-2</v>
      </c>
      <c r="L626" s="3">
        <v>2</v>
      </c>
      <c r="N626" s="5">
        <v>625</v>
      </c>
      <c r="O626" s="18"/>
      <c r="P626" s="17"/>
    </row>
    <row r="627" spans="1:16" x14ac:dyDescent="0.35">
      <c r="A627" s="3" t="s">
        <v>1494</v>
      </c>
      <c r="B627" s="3" t="s">
        <v>430</v>
      </c>
      <c r="C627" s="3" t="s">
        <v>428</v>
      </c>
      <c r="G627" s="4">
        <v>0.2</v>
      </c>
      <c r="H627" s="17">
        <v>6.9006691784009996E-3</v>
      </c>
      <c r="I627" s="17">
        <v>6.9006691784009996E-3</v>
      </c>
      <c r="J627" s="3">
        <v>5.5205353427207997E-3</v>
      </c>
      <c r="K627" s="3">
        <v>8.2808030140811995E-3</v>
      </c>
      <c r="L627" s="3">
        <v>2</v>
      </c>
      <c r="N627" s="5">
        <v>626</v>
      </c>
      <c r="O627" s="18"/>
      <c r="P627" s="17"/>
    </row>
    <row r="628" spans="1:16" x14ac:dyDescent="0.35">
      <c r="A628" s="3" t="s">
        <v>1495</v>
      </c>
      <c r="B628" s="3" t="s">
        <v>430</v>
      </c>
      <c r="C628" s="3" t="s">
        <v>455</v>
      </c>
      <c r="D628" s="3">
        <v>3.94</v>
      </c>
      <c r="E628" s="3">
        <v>3.94</v>
      </c>
      <c r="F628" s="3">
        <v>3.94</v>
      </c>
      <c r="G628" s="4">
        <v>3.94</v>
      </c>
      <c r="H628" s="17">
        <v>1.8006246212912469E-2</v>
      </c>
      <c r="I628" s="17">
        <v>1.8006246212912469E-2</v>
      </c>
      <c r="J628" s="3">
        <v>1.4404996970329976E-2</v>
      </c>
      <c r="K628" s="3">
        <v>2.1607495455494962E-2</v>
      </c>
      <c r="L628" s="3">
        <v>2</v>
      </c>
      <c r="N628" s="5">
        <v>627</v>
      </c>
      <c r="O628" s="18"/>
      <c r="P628" s="17"/>
    </row>
    <row r="629" spans="1:16" x14ac:dyDescent="0.35">
      <c r="A629" s="3" t="s">
        <v>1496</v>
      </c>
      <c r="B629" s="3" t="s">
        <v>432</v>
      </c>
      <c r="C629" s="3" t="s">
        <v>59</v>
      </c>
      <c r="G629" s="4">
        <v>5.8</v>
      </c>
      <c r="H629" s="17">
        <v>9.5711402696496521E-4</v>
      </c>
      <c r="I629" s="17">
        <v>9.5711402696496521E-4</v>
      </c>
      <c r="J629" s="3">
        <v>5.6498611091459203E-4</v>
      </c>
      <c r="K629" s="3">
        <v>8.4747916637188789E-4</v>
      </c>
      <c r="L629" s="3">
        <v>2</v>
      </c>
      <c r="N629" s="5">
        <v>628</v>
      </c>
      <c r="O629" s="18"/>
      <c r="P629" s="17"/>
    </row>
    <row r="630" spans="1:16" x14ac:dyDescent="0.35">
      <c r="A630" s="3" t="s">
        <v>1497</v>
      </c>
      <c r="B630" s="3" t="s">
        <v>431</v>
      </c>
      <c r="C630" s="3" t="s">
        <v>58</v>
      </c>
      <c r="G630" s="4">
        <v>0.3</v>
      </c>
      <c r="H630" s="19">
        <v>1.283345194912359E-3</v>
      </c>
      <c r="I630" s="19">
        <v>1.283345194912359E-3</v>
      </c>
      <c r="J630" s="3">
        <v>7.6556139242203107E-4</v>
      </c>
      <c r="K630" s="3">
        <v>1.1483420886330465E-3</v>
      </c>
      <c r="L630" s="3">
        <v>2</v>
      </c>
      <c r="N630" s="5">
        <v>629</v>
      </c>
      <c r="O630" s="18"/>
      <c r="P630" s="17"/>
    </row>
    <row r="631" spans="1:16" x14ac:dyDescent="0.35">
      <c r="A631" s="3" t="s">
        <v>1498</v>
      </c>
      <c r="B631" s="3" t="s">
        <v>54</v>
      </c>
      <c r="C631" s="3" t="s">
        <v>36</v>
      </c>
      <c r="G631" s="4">
        <v>0.1</v>
      </c>
      <c r="H631" s="17">
        <v>1.8316629040236591E-3</v>
      </c>
      <c r="I631" s="17">
        <v>1.8316629040236591E-3</v>
      </c>
      <c r="J631" s="3">
        <v>1.4653303232189272E-3</v>
      </c>
      <c r="K631" s="3">
        <v>2.1979954848283909E-3</v>
      </c>
      <c r="L631" s="3">
        <v>2</v>
      </c>
      <c r="N631" s="5">
        <v>630</v>
      </c>
      <c r="O631" s="18"/>
      <c r="P631" s="17"/>
    </row>
    <row r="632" spans="1:16" x14ac:dyDescent="0.35">
      <c r="A632" s="3" t="s">
        <v>1499</v>
      </c>
      <c r="B632" s="3" t="s">
        <v>436</v>
      </c>
      <c r="C632" s="3" t="s">
        <v>61</v>
      </c>
      <c r="G632" s="4">
        <v>104.4499999999998</v>
      </c>
      <c r="H632" s="17">
        <v>2.4766200196960162E-3</v>
      </c>
      <c r="I632" s="17">
        <v>2.4766200196960162E-3</v>
      </c>
      <c r="J632" s="3">
        <v>1.7644025743396904E-3</v>
      </c>
      <c r="K632" s="3">
        <v>2.6466038615095356E-3</v>
      </c>
      <c r="L632" s="3">
        <v>2</v>
      </c>
      <c r="N632" s="5">
        <v>631</v>
      </c>
      <c r="O632" s="18"/>
      <c r="P632" s="17"/>
    </row>
    <row r="633" spans="1:16" x14ac:dyDescent="0.35">
      <c r="A633" s="34" t="s">
        <v>1500</v>
      </c>
      <c r="B633" s="34" t="s">
        <v>94</v>
      </c>
      <c r="C633" s="34" t="s">
        <v>62</v>
      </c>
      <c r="D633" s="34"/>
      <c r="E633" s="34"/>
      <c r="F633" s="7">
        <v>5</v>
      </c>
      <c r="G633" s="35">
        <v>9.07</v>
      </c>
      <c r="H633" s="36">
        <v>4.7463695052104307E-2</v>
      </c>
      <c r="I633" s="36">
        <v>4.7463695052104307E-2</v>
      </c>
      <c r="J633" s="34">
        <v>0.16370768970183089</v>
      </c>
      <c r="K633" s="34">
        <v>0.24556153455274629</v>
      </c>
      <c r="L633" s="34">
        <v>2</v>
      </c>
      <c r="M633" s="34" t="s">
        <v>2082</v>
      </c>
      <c r="N633" s="37">
        <v>632</v>
      </c>
      <c r="O633" s="18"/>
      <c r="P633" s="17"/>
    </row>
    <row r="634" spans="1:16" x14ac:dyDescent="0.35">
      <c r="A634" s="34" t="s">
        <v>1501</v>
      </c>
      <c r="B634" s="34" t="s">
        <v>90</v>
      </c>
      <c r="C634" s="34" t="s">
        <v>64</v>
      </c>
      <c r="D634" s="34"/>
      <c r="E634" s="34"/>
      <c r="F634" s="7">
        <v>4.7300000000000004</v>
      </c>
      <c r="G634" s="35">
        <v>4.7300000000000004</v>
      </c>
      <c r="H634" s="36">
        <v>6.2611138535249147E-2</v>
      </c>
      <c r="I634" s="36">
        <v>6.2611138535249147E-2</v>
      </c>
      <c r="J634" s="34">
        <v>9.9752272209261361E-2</v>
      </c>
      <c r="K634" s="34">
        <v>0.14962840831389204</v>
      </c>
      <c r="L634" s="34">
        <v>2</v>
      </c>
      <c r="M634" s="34" t="s">
        <v>2082</v>
      </c>
      <c r="N634" s="37">
        <v>633</v>
      </c>
      <c r="O634" s="18"/>
      <c r="P634" s="17"/>
    </row>
    <row r="635" spans="1:16" x14ac:dyDescent="0.35">
      <c r="A635" s="34" t="s">
        <v>1502</v>
      </c>
      <c r="B635" s="34" t="s">
        <v>93</v>
      </c>
      <c r="C635" s="34" t="s">
        <v>63</v>
      </c>
      <c r="D635" s="34"/>
      <c r="E635" s="34"/>
      <c r="F635" s="7">
        <v>1.31</v>
      </c>
      <c r="G635" s="35">
        <v>1.3100000000000009</v>
      </c>
      <c r="H635" s="40">
        <v>6.7319182491454368E-2</v>
      </c>
      <c r="I635" s="40">
        <v>6.7319182491454368E-2</v>
      </c>
      <c r="J635" s="34">
        <v>0.62444208014601721</v>
      </c>
      <c r="K635" s="34">
        <v>0.93666312021902576</v>
      </c>
      <c r="L635" s="34">
        <v>2</v>
      </c>
      <c r="M635" s="34" t="s">
        <v>2082</v>
      </c>
      <c r="N635" s="37">
        <v>634</v>
      </c>
      <c r="O635" s="18"/>
      <c r="P635" s="17"/>
    </row>
    <row r="636" spans="1:16" x14ac:dyDescent="0.35">
      <c r="A636" s="34" t="s">
        <v>1503</v>
      </c>
      <c r="B636" s="34" t="s">
        <v>91</v>
      </c>
      <c r="C636" s="34" t="s">
        <v>65</v>
      </c>
      <c r="D636" s="34"/>
      <c r="E636" s="34"/>
      <c r="F636" s="7">
        <v>3.71</v>
      </c>
      <c r="G636" s="35">
        <v>3.709999999999996</v>
      </c>
      <c r="H636" s="36">
        <v>5.1708381223186071E-2</v>
      </c>
      <c r="I636" s="36">
        <v>5.1708381223186071E-2</v>
      </c>
      <c r="J636" s="34">
        <v>0.1156638211809816</v>
      </c>
      <c r="K636" s="34">
        <v>0.1734957317714724</v>
      </c>
      <c r="L636" s="34">
        <v>2</v>
      </c>
      <c r="M636" s="34" t="s">
        <v>2082</v>
      </c>
      <c r="N636" s="37">
        <v>635</v>
      </c>
      <c r="O636" s="18"/>
      <c r="P636" s="17"/>
    </row>
    <row r="637" spans="1:16" x14ac:dyDescent="0.35">
      <c r="A637" s="34" t="s">
        <v>1504</v>
      </c>
      <c r="B637" s="34" t="s">
        <v>92</v>
      </c>
      <c r="C637" s="34" t="s">
        <v>36</v>
      </c>
      <c r="D637" s="34"/>
      <c r="E637" s="34"/>
      <c r="F637" s="7">
        <v>2.41</v>
      </c>
      <c r="G637" s="35">
        <v>4.4999999999999982</v>
      </c>
      <c r="H637" s="36">
        <v>4.7273512706166941E-2</v>
      </c>
      <c r="I637" s="36">
        <v>4.7273512706166941E-2</v>
      </c>
      <c r="J637" s="34">
        <v>0.33517846802125922</v>
      </c>
      <c r="K637" s="34">
        <v>0.50276770203188881</v>
      </c>
      <c r="L637" s="34">
        <v>2</v>
      </c>
      <c r="M637" s="34" t="s">
        <v>2082</v>
      </c>
      <c r="N637" s="37">
        <v>636</v>
      </c>
      <c r="O637" s="18"/>
      <c r="P637" s="17"/>
    </row>
    <row r="638" spans="1:16" x14ac:dyDescent="0.35">
      <c r="A638" s="7" t="s">
        <v>1505</v>
      </c>
      <c r="B638" s="7" t="s">
        <v>443</v>
      </c>
      <c r="C638" s="7" t="s">
        <v>61</v>
      </c>
      <c r="D638" s="7"/>
      <c r="E638" s="7"/>
      <c r="F638" s="7"/>
      <c r="G638" s="11">
        <v>3.799999999999994</v>
      </c>
      <c r="H638" s="9">
        <v>6</v>
      </c>
      <c r="I638" s="22">
        <v>3.0661825919921119E-2</v>
      </c>
      <c r="J638" s="7">
        <v>6.1323651839842236E-4</v>
      </c>
      <c r="K638" s="7">
        <v>1.5330912959960559</v>
      </c>
      <c r="L638" s="7">
        <v>2</v>
      </c>
      <c r="M638" s="7" t="s">
        <v>2105</v>
      </c>
      <c r="N638" s="8">
        <v>637</v>
      </c>
      <c r="O638" s="18"/>
      <c r="P638" s="17"/>
    </row>
    <row r="639" spans="1:16" x14ac:dyDescent="0.35">
      <c r="A639" s="3" t="s">
        <v>1506</v>
      </c>
      <c r="B639" s="3" t="s">
        <v>61</v>
      </c>
      <c r="C639" s="3" t="s">
        <v>35</v>
      </c>
      <c r="G639" s="4">
        <v>108.2499999999998</v>
      </c>
      <c r="H639" s="17">
        <v>1.2130713336429961E-3</v>
      </c>
      <c r="I639" s="17">
        <v>1.2130713336429961E-3</v>
      </c>
      <c r="J639" s="3">
        <v>1.9278191219941527E-3</v>
      </c>
      <c r="K639" s="3">
        <v>2.8917286829912288E-3</v>
      </c>
      <c r="L639" s="3">
        <v>2</v>
      </c>
      <c r="N639" s="5">
        <v>638</v>
      </c>
      <c r="O639" s="18"/>
      <c r="P639" s="17"/>
    </row>
    <row r="640" spans="1:16" x14ac:dyDescent="0.35">
      <c r="A640" s="3" t="s">
        <v>1507</v>
      </c>
      <c r="B640" s="3" t="s">
        <v>35</v>
      </c>
      <c r="C640" s="3" t="s">
        <v>68</v>
      </c>
      <c r="G640" s="4">
        <v>98.439999999999827</v>
      </c>
      <c r="H640" s="17">
        <v>2.0312051816759481E-3</v>
      </c>
      <c r="I640" s="17">
        <v>2.0312051816759481E-3</v>
      </c>
      <c r="J640" s="3">
        <v>3.2384555773369928E-3</v>
      </c>
      <c r="K640" s="3">
        <v>4.8576833660054887E-3</v>
      </c>
      <c r="L640" s="3">
        <v>2</v>
      </c>
      <c r="N640" s="5">
        <v>639</v>
      </c>
      <c r="O640" s="18"/>
      <c r="P640" s="17"/>
    </row>
    <row r="641" spans="1:16" x14ac:dyDescent="0.35">
      <c r="A641" s="3" t="s">
        <v>1508</v>
      </c>
      <c r="B641" s="3" t="s">
        <v>35</v>
      </c>
      <c r="C641" s="3" t="s">
        <v>70</v>
      </c>
      <c r="D641" s="3">
        <v>9.81</v>
      </c>
      <c r="E641" s="3">
        <v>9.81</v>
      </c>
      <c r="F641" s="3">
        <v>9.81</v>
      </c>
      <c r="G641" s="4">
        <v>9.81</v>
      </c>
      <c r="H641" s="17">
        <v>9.5066080428054395E-4</v>
      </c>
      <c r="I641" s="17">
        <v>9.5066080428054395E-4</v>
      </c>
      <c r="J641" s="3">
        <v>8.1898839071418885E-4</v>
      </c>
      <c r="K641" s="3">
        <v>1.2284825860712832E-3</v>
      </c>
      <c r="L641" s="3">
        <v>2</v>
      </c>
      <c r="N641" s="5">
        <v>640</v>
      </c>
      <c r="O641" s="18"/>
      <c r="P641" s="17"/>
    </row>
    <row r="642" spans="1:16" x14ac:dyDescent="0.35">
      <c r="A642" s="7" t="s">
        <v>1509</v>
      </c>
      <c r="B642" s="7" t="s">
        <v>68</v>
      </c>
      <c r="C642" s="7" t="s">
        <v>66</v>
      </c>
      <c r="D642" s="7"/>
      <c r="E642" s="7"/>
      <c r="F642" s="7"/>
      <c r="G642" s="11">
        <v>67.089999999999847</v>
      </c>
      <c r="H642" s="9">
        <v>15</v>
      </c>
      <c r="I642" s="22">
        <v>7.4164423775395453E-3</v>
      </c>
      <c r="J642" s="7">
        <v>2.4229768419328185E-3</v>
      </c>
      <c r="K642" s="7">
        <v>2.4229768419328189E-2</v>
      </c>
      <c r="L642" s="7">
        <v>2</v>
      </c>
      <c r="M642" s="7"/>
      <c r="N642" s="8">
        <v>641</v>
      </c>
      <c r="O642" s="18"/>
      <c r="P642" s="17"/>
    </row>
    <row r="643" spans="1:16" x14ac:dyDescent="0.35">
      <c r="A643" s="3" t="s">
        <v>1510</v>
      </c>
      <c r="B643" s="3" t="s">
        <v>68</v>
      </c>
      <c r="C643" s="3" t="s">
        <v>69</v>
      </c>
      <c r="G643" s="4">
        <v>31.35</v>
      </c>
      <c r="H643" s="17">
        <v>8.0268584324973797E-4</v>
      </c>
      <c r="I643" s="17">
        <v>8.0268584324973797E-4</v>
      </c>
      <c r="J643" s="3">
        <v>4.0725826824864825E-4</v>
      </c>
      <c r="K643" s="3">
        <v>1.4771718187832469E-3</v>
      </c>
      <c r="L643" s="3">
        <v>2</v>
      </c>
      <c r="N643" s="5">
        <v>642</v>
      </c>
      <c r="O643" s="18"/>
      <c r="P643" s="17"/>
    </row>
    <row r="644" spans="1:16" x14ac:dyDescent="0.35">
      <c r="A644" s="3" t="s">
        <v>1511</v>
      </c>
      <c r="B644" s="3" t="s">
        <v>70</v>
      </c>
      <c r="C644" s="3" t="s">
        <v>78</v>
      </c>
      <c r="G644" s="4">
        <v>7.77</v>
      </c>
      <c r="H644" s="19">
        <v>3.3026307566191458E-3</v>
      </c>
      <c r="I644" s="19">
        <v>3.3026307566191458E-3</v>
      </c>
      <c r="J644" s="3">
        <v>2.8988882134088016E-3</v>
      </c>
      <c r="K644" s="3">
        <v>4.3483323201132023E-3</v>
      </c>
      <c r="L644" s="3">
        <v>2</v>
      </c>
      <c r="N644" s="5">
        <v>643</v>
      </c>
      <c r="O644" s="18"/>
      <c r="P644" s="17"/>
    </row>
    <row r="645" spans="1:16" x14ac:dyDescent="0.35">
      <c r="A645" s="34" t="s">
        <v>1512</v>
      </c>
      <c r="B645" s="34" t="s">
        <v>97</v>
      </c>
      <c r="C645" s="34" t="s">
        <v>69</v>
      </c>
      <c r="D645" s="34"/>
      <c r="E645" s="34"/>
      <c r="F645" s="7">
        <v>1.1000000000000001</v>
      </c>
      <c r="G645" s="35">
        <v>0.1</v>
      </c>
      <c r="H645" s="40">
        <v>6.0807625425696767E-2</v>
      </c>
      <c r="I645" s="40">
        <v>6.0807625425696767E-2</v>
      </c>
      <c r="J645" s="34">
        <v>6.6699250958286604E-2</v>
      </c>
      <c r="K645" s="34">
        <v>0.10004887643742991</v>
      </c>
      <c r="L645" s="34">
        <v>2</v>
      </c>
      <c r="M645" s="34" t="s">
        <v>2082</v>
      </c>
      <c r="N645" s="37">
        <v>644</v>
      </c>
      <c r="O645" s="18"/>
      <c r="P645" s="17"/>
    </row>
    <row r="646" spans="1:16" x14ac:dyDescent="0.35">
      <c r="A646" s="34" t="s">
        <v>1513</v>
      </c>
      <c r="B646" s="34" t="s">
        <v>95</v>
      </c>
      <c r="C646" s="34" t="s">
        <v>74</v>
      </c>
      <c r="D646" s="34"/>
      <c r="E646" s="34"/>
      <c r="F646" s="7">
        <v>1.1000000000000001</v>
      </c>
      <c r="G646" s="35">
        <v>0.1</v>
      </c>
      <c r="H646" s="36">
        <v>5.2294634331359627E-2</v>
      </c>
      <c r="I646" s="36">
        <v>5.2294634331359627E-2</v>
      </c>
      <c r="J646" s="34">
        <v>0.28921892050979731</v>
      </c>
      <c r="K646" s="34">
        <v>0.43382838076469593</v>
      </c>
      <c r="L646" s="34">
        <v>2</v>
      </c>
      <c r="M646" s="34" t="s">
        <v>2082</v>
      </c>
      <c r="N646" s="37">
        <v>645</v>
      </c>
      <c r="O646" s="18"/>
      <c r="P646" s="17"/>
    </row>
    <row r="647" spans="1:16" x14ac:dyDescent="0.35">
      <c r="A647" s="34" t="s">
        <v>1514</v>
      </c>
      <c r="B647" s="34" t="s">
        <v>98</v>
      </c>
      <c r="C647" s="34" t="s">
        <v>76</v>
      </c>
      <c r="D647" s="34"/>
      <c r="E647" s="34"/>
      <c r="F647" s="7">
        <v>1.1000000000000001</v>
      </c>
      <c r="G647" s="35">
        <v>3.88</v>
      </c>
      <c r="H647" s="36">
        <v>4.9137457686160471E-2</v>
      </c>
      <c r="I647" s="36">
        <v>4.9137457686160471E-2</v>
      </c>
      <c r="J647" s="34">
        <v>0.13437737271733224</v>
      </c>
      <c r="K647" s="34">
        <v>0.20156605907599834</v>
      </c>
      <c r="L647" s="34">
        <v>2</v>
      </c>
      <c r="M647" s="34" t="s">
        <v>2082</v>
      </c>
      <c r="N647" s="37">
        <v>646</v>
      </c>
      <c r="O647" s="18"/>
      <c r="P647" s="17"/>
    </row>
    <row r="648" spans="1:16" x14ac:dyDescent="0.35">
      <c r="A648" s="34" t="s">
        <v>1515</v>
      </c>
      <c r="B648" s="34" t="s">
        <v>98</v>
      </c>
      <c r="C648" s="34" t="s">
        <v>78</v>
      </c>
      <c r="D648" s="34"/>
      <c r="E648" s="34"/>
      <c r="F648" s="7">
        <v>1.1000000000000001</v>
      </c>
      <c r="G648" s="35">
        <v>0.1</v>
      </c>
      <c r="H648" s="36">
        <v>5.0587642244299492E-2</v>
      </c>
      <c r="I648" s="36">
        <v>5.0587642244299492E-2</v>
      </c>
      <c r="J648" s="34">
        <v>0.36207822162861808</v>
      </c>
      <c r="K648" s="34">
        <v>0.54311733244292704</v>
      </c>
      <c r="L648" s="34">
        <v>2</v>
      </c>
      <c r="M648" s="34" t="s">
        <v>2082</v>
      </c>
      <c r="N648" s="37">
        <v>647</v>
      </c>
      <c r="O648" s="18"/>
      <c r="P648" s="17"/>
    </row>
    <row r="649" spans="1:16" x14ac:dyDescent="0.35">
      <c r="A649" s="3" t="s">
        <v>1516</v>
      </c>
      <c r="B649" s="3" t="s">
        <v>438</v>
      </c>
      <c r="C649" s="3" t="s">
        <v>79</v>
      </c>
      <c r="D649" s="3">
        <v>30.99</v>
      </c>
      <c r="E649" s="3">
        <v>30.99</v>
      </c>
      <c r="F649" s="3">
        <v>30.99</v>
      </c>
      <c r="G649" s="4">
        <v>30.99</v>
      </c>
      <c r="H649" s="17">
        <v>9.5601879791088803E-3</v>
      </c>
      <c r="I649" s="17">
        <v>9.5601879791088803E-3</v>
      </c>
      <c r="J649" s="3">
        <v>1.1718697675847833E-2</v>
      </c>
      <c r="K649" s="3">
        <v>1.7578046513771747E-2</v>
      </c>
      <c r="L649" s="3">
        <v>2</v>
      </c>
      <c r="N649" s="5">
        <v>648</v>
      </c>
      <c r="O649" s="18"/>
      <c r="P649" s="17"/>
    </row>
    <row r="650" spans="1:16" x14ac:dyDescent="0.35">
      <c r="A650" s="7" t="s">
        <v>1517</v>
      </c>
      <c r="B650" s="7" t="s">
        <v>79</v>
      </c>
      <c r="C650" s="7" t="s">
        <v>458</v>
      </c>
      <c r="D650" s="7"/>
      <c r="E650" s="7"/>
      <c r="F650" s="7"/>
      <c r="G650" s="11">
        <v>4.5400000000000009</v>
      </c>
      <c r="H650" s="9">
        <v>5</v>
      </c>
      <c r="I650" s="22">
        <v>1.3777634963039539E-2</v>
      </c>
      <c r="J650" s="22">
        <v>1.3777634963039539E-2</v>
      </c>
      <c r="K650" s="7">
        <v>1</v>
      </c>
      <c r="L650" s="7">
        <v>2</v>
      </c>
      <c r="M650" s="7"/>
      <c r="N650" s="8">
        <v>649</v>
      </c>
      <c r="O650" s="18"/>
      <c r="P650" s="17"/>
    </row>
    <row r="651" spans="1:16" s="15" customFormat="1" x14ac:dyDescent="0.35">
      <c r="A651" s="15" t="s">
        <v>1518</v>
      </c>
      <c r="B651" s="15" t="s">
        <v>81</v>
      </c>
      <c r="C651" s="15" t="s">
        <v>938</v>
      </c>
      <c r="D651" s="3"/>
      <c r="E651" s="3"/>
      <c r="F651" s="3">
        <v>7.23</v>
      </c>
      <c r="G651" s="4">
        <v>15.49</v>
      </c>
      <c r="H651" s="8">
        <v>15</v>
      </c>
      <c r="I651" s="24">
        <v>1.1303192443838799E-2</v>
      </c>
      <c r="J651" s="15">
        <v>5.6515962219193996E-3</v>
      </c>
      <c r="K651" s="15">
        <v>0.95909794462087949</v>
      </c>
      <c r="L651" s="15">
        <v>2</v>
      </c>
      <c r="M651" s="15" t="s">
        <v>2067</v>
      </c>
      <c r="N651" s="16">
        <v>650</v>
      </c>
      <c r="O651" s="25"/>
      <c r="P651" s="24"/>
    </row>
    <row r="652" spans="1:16" x14ac:dyDescent="0.35">
      <c r="A652" s="3" t="s">
        <v>1519</v>
      </c>
      <c r="B652" s="3" t="s">
        <v>939</v>
      </c>
      <c r="C652" s="3" t="s">
        <v>86</v>
      </c>
      <c r="G652" s="4">
        <v>2.290000000000032</v>
      </c>
      <c r="H652" s="17">
        <v>2.1835807072973839E-3</v>
      </c>
      <c r="I652" s="17">
        <v>2.1835807072973839E-3</v>
      </c>
      <c r="J652" s="3">
        <v>3.0521310351262401E-3</v>
      </c>
      <c r="K652" s="3">
        <v>4.5781965526893601E-3</v>
      </c>
      <c r="L652" s="3">
        <v>2</v>
      </c>
      <c r="N652" s="5">
        <v>651</v>
      </c>
      <c r="O652" s="18"/>
      <c r="P652" s="17"/>
    </row>
    <row r="653" spans="1:16" x14ac:dyDescent="0.35">
      <c r="A653" s="3" t="s">
        <v>1520</v>
      </c>
      <c r="B653" s="3" t="s">
        <v>923</v>
      </c>
      <c r="C653" s="3" t="s">
        <v>883</v>
      </c>
      <c r="D653" s="3">
        <v>13.48</v>
      </c>
      <c r="E653" s="3">
        <v>13.48</v>
      </c>
      <c r="F653" s="3">
        <v>13.48</v>
      </c>
      <c r="G653" s="4">
        <v>13.48</v>
      </c>
      <c r="H653" s="17">
        <v>2.3064513855060331E-3</v>
      </c>
      <c r="I653" s="17">
        <v>2.3064513855060331E-3</v>
      </c>
      <c r="J653" s="3">
        <v>9.319007132302696E-4</v>
      </c>
      <c r="K653" s="3">
        <v>1.3978510698454043E-3</v>
      </c>
      <c r="L653" s="3">
        <v>2</v>
      </c>
      <c r="N653" s="5">
        <v>652</v>
      </c>
      <c r="O653" s="18"/>
      <c r="P653" s="17"/>
    </row>
    <row r="654" spans="1:16" x14ac:dyDescent="0.35">
      <c r="A654" s="3" t="s">
        <v>1521</v>
      </c>
      <c r="B654" s="3" t="s">
        <v>85</v>
      </c>
      <c r="C654" s="3" t="s">
        <v>80</v>
      </c>
      <c r="G654" s="4">
        <v>0.1</v>
      </c>
      <c r="H654" s="17">
        <v>1.7305336049370961E-3</v>
      </c>
      <c r="I654" s="17">
        <v>1.7305336049370961E-3</v>
      </c>
      <c r="J654" s="3">
        <v>1.3844268839496769E-3</v>
      </c>
      <c r="K654" s="3">
        <v>2.0766403259245151E-3</v>
      </c>
      <c r="L654" s="3">
        <v>2</v>
      </c>
      <c r="N654" s="5">
        <v>653</v>
      </c>
      <c r="O654" s="18"/>
      <c r="P654" s="17"/>
    </row>
    <row r="655" spans="1:16" x14ac:dyDescent="0.35">
      <c r="A655" s="3" t="s">
        <v>1522</v>
      </c>
      <c r="B655" s="3" t="s">
        <v>80</v>
      </c>
      <c r="C655" s="3" t="s">
        <v>865</v>
      </c>
      <c r="G655" s="4">
        <v>116.06999999999989</v>
      </c>
      <c r="H655" s="19">
        <v>2.4542363493029991E-3</v>
      </c>
      <c r="I655" s="19">
        <v>2.4542363493029991E-3</v>
      </c>
      <c r="J655" s="3">
        <v>2.1195284557777561E-4</v>
      </c>
      <c r="K655" s="3">
        <v>3.1792926836666342E-4</v>
      </c>
      <c r="L655" s="3">
        <v>2</v>
      </c>
      <c r="N655" s="5">
        <v>654</v>
      </c>
      <c r="O655" s="18"/>
      <c r="P655" s="17"/>
    </row>
    <row r="656" spans="1:16" x14ac:dyDescent="0.35">
      <c r="A656" s="7" t="s">
        <v>1523</v>
      </c>
      <c r="B656" s="7" t="s">
        <v>86</v>
      </c>
      <c r="C656" s="7" t="s">
        <v>919</v>
      </c>
      <c r="D656" s="7"/>
      <c r="E656" s="7"/>
      <c r="F656" s="7"/>
      <c r="G656" s="11">
        <v>2.1900000000000319</v>
      </c>
      <c r="H656" s="9">
        <v>599</v>
      </c>
      <c r="I656" s="28">
        <v>5.721570566817308E-3</v>
      </c>
      <c r="J656" s="7">
        <v>1.4513467550686791E-3</v>
      </c>
      <c r="K656" s="7">
        <v>100</v>
      </c>
      <c r="L656" s="7">
        <v>2</v>
      </c>
      <c r="M656" s="7"/>
      <c r="N656" s="8">
        <v>655</v>
      </c>
      <c r="O656" s="18"/>
      <c r="P656" s="17"/>
    </row>
    <row r="657" spans="1:16" x14ac:dyDescent="0.35">
      <c r="A657" s="7" t="s">
        <v>1524</v>
      </c>
      <c r="B657" s="7" t="s">
        <v>423</v>
      </c>
      <c r="C657" s="7" t="s">
        <v>88</v>
      </c>
      <c r="D657" s="7">
        <v>52.46</v>
      </c>
      <c r="E657" s="7">
        <v>52.46</v>
      </c>
      <c r="F657" s="7">
        <v>52.46</v>
      </c>
      <c r="G657" s="11">
        <v>52.46</v>
      </c>
      <c r="H657" s="9">
        <v>236</v>
      </c>
      <c r="I657" s="22">
        <v>1.870902993323532E-4</v>
      </c>
      <c r="J657" s="7">
        <v>3.7418059866470639E-6</v>
      </c>
      <c r="K657" s="7">
        <v>9.3545149666176605E-3</v>
      </c>
      <c r="L657" s="7">
        <v>2</v>
      </c>
      <c r="M657" s="7"/>
      <c r="N657" s="8">
        <v>656</v>
      </c>
      <c r="O657" s="18"/>
      <c r="P657" s="17"/>
    </row>
    <row r="658" spans="1:16" x14ac:dyDescent="0.35">
      <c r="A658" s="3" t="s">
        <v>1525</v>
      </c>
      <c r="B658" s="3" t="s">
        <v>88</v>
      </c>
      <c r="C658" s="3" t="s">
        <v>82</v>
      </c>
      <c r="D658" s="3">
        <v>41.36</v>
      </c>
      <c r="E658" s="3">
        <v>41.36</v>
      </c>
      <c r="F658" s="3">
        <v>41.36</v>
      </c>
      <c r="G658" s="4">
        <v>41.36</v>
      </c>
      <c r="H658" s="17">
        <v>6.8379546250019023E-4</v>
      </c>
      <c r="I658" s="17">
        <v>6.8379546250019023E-4</v>
      </c>
      <c r="J658" s="3">
        <v>1.0871713934365449E-3</v>
      </c>
      <c r="K658" s="3">
        <v>1.630757090154817E-3</v>
      </c>
      <c r="L658" s="3">
        <v>2</v>
      </c>
      <c r="N658" s="5">
        <v>657</v>
      </c>
      <c r="O658" s="18"/>
      <c r="P658" s="17"/>
    </row>
    <row r="659" spans="1:16" x14ac:dyDescent="0.35">
      <c r="A659" s="34" t="s">
        <v>1526</v>
      </c>
      <c r="B659" s="34" t="s">
        <v>82</v>
      </c>
      <c r="C659" s="34" t="s">
        <v>453</v>
      </c>
      <c r="D659" s="34"/>
      <c r="E659" s="34"/>
      <c r="F659" s="7">
        <v>7</v>
      </c>
      <c r="G659" s="35">
        <v>2.92</v>
      </c>
      <c r="H659" s="36">
        <v>1.400761387480473E-3</v>
      </c>
      <c r="I659" s="36">
        <v>1.400761387480473E-3</v>
      </c>
      <c r="J659" s="34">
        <v>0.19848039004134241</v>
      </c>
      <c r="K659" s="34">
        <v>0.2977205850620136</v>
      </c>
      <c r="L659" s="34">
        <v>2</v>
      </c>
      <c r="M659" s="34" t="s">
        <v>2090</v>
      </c>
      <c r="N659" s="37">
        <v>658</v>
      </c>
      <c r="O659" s="18"/>
      <c r="P659" s="17"/>
    </row>
    <row r="660" spans="1:16" x14ac:dyDescent="0.35">
      <c r="A660" s="3" t="s">
        <v>1527</v>
      </c>
      <c r="B660" s="3" t="s">
        <v>89</v>
      </c>
      <c r="C660" s="3" t="s">
        <v>462</v>
      </c>
      <c r="G660" s="4">
        <v>10.06</v>
      </c>
      <c r="H660" s="17">
        <v>9.4421608894673052E-3</v>
      </c>
      <c r="I660" s="17">
        <v>9.4421608894673052E-3</v>
      </c>
      <c r="J660" s="3">
        <v>7.5537287115738441E-3</v>
      </c>
      <c r="K660" s="3">
        <v>1.1330593067360766E-2</v>
      </c>
      <c r="L660" s="3">
        <v>2</v>
      </c>
      <c r="N660" s="5">
        <v>659</v>
      </c>
      <c r="O660" s="18"/>
      <c r="P660" s="17"/>
    </row>
    <row r="661" spans="1:16" x14ac:dyDescent="0.35">
      <c r="A661" s="3" t="s">
        <v>1528</v>
      </c>
      <c r="B661" s="3" t="s">
        <v>89</v>
      </c>
      <c r="C661" s="3" t="s">
        <v>92</v>
      </c>
      <c r="D661" s="3">
        <v>24.58</v>
      </c>
      <c r="E661" s="3">
        <v>24.58</v>
      </c>
      <c r="F661" s="3">
        <v>24.58</v>
      </c>
      <c r="G661" s="4">
        <v>24.58</v>
      </c>
      <c r="H661" s="17">
        <v>2.5989599297628471E-3</v>
      </c>
      <c r="I661" s="17">
        <v>2.5989599297628471E-3</v>
      </c>
      <c r="J661" s="3">
        <v>4.1555889021097159E-3</v>
      </c>
      <c r="K661" s="3">
        <v>6.2333833531645734E-3</v>
      </c>
      <c r="L661" s="3">
        <v>2</v>
      </c>
      <c r="N661" s="5">
        <v>660</v>
      </c>
      <c r="O661" s="18"/>
      <c r="P661" s="17"/>
    </row>
    <row r="662" spans="1:16" x14ac:dyDescent="0.35">
      <c r="A662" s="3" t="s">
        <v>1529</v>
      </c>
      <c r="B662" s="3" t="s">
        <v>91</v>
      </c>
      <c r="C662" s="3" t="s">
        <v>93</v>
      </c>
      <c r="D662" s="3">
        <v>16.37</v>
      </c>
      <c r="E662" s="3">
        <v>16.37</v>
      </c>
      <c r="F662" s="3">
        <v>16.37</v>
      </c>
      <c r="G662" s="4">
        <v>16.37</v>
      </c>
      <c r="H662" s="17">
        <v>4.9522485561206877E-4</v>
      </c>
      <c r="I662" s="17">
        <v>4.9522485561206877E-4</v>
      </c>
      <c r="J662" s="3">
        <v>4.5260348779634037E-4</v>
      </c>
      <c r="K662" s="3">
        <v>6.7890523169451052E-4</v>
      </c>
      <c r="L662" s="3">
        <v>2</v>
      </c>
      <c r="N662" s="5">
        <v>661</v>
      </c>
      <c r="O662" s="18"/>
      <c r="P662" s="17"/>
    </row>
    <row r="663" spans="1:16" x14ac:dyDescent="0.35">
      <c r="A663" s="3" t="s">
        <v>1530</v>
      </c>
      <c r="B663" s="3" t="s">
        <v>90</v>
      </c>
      <c r="C663" s="3" t="s">
        <v>94</v>
      </c>
      <c r="D663" s="3">
        <v>10.33</v>
      </c>
      <c r="E663" s="3">
        <v>10.33</v>
      </c>
      <c r="F663" s="3">
        <v>10.33</v>
      </c>
      <c r="G663" s="4">
        <v>10.33</v>
      </c>
      <c r="H663" s="17">
        <v>6.9557461958591157E-4</v>
      </c>
      <c r="I663" s="17">
        <v>6.9557461958591157E-4</v>
      </c>
      <c r="J663" s="3">
        <v>3.0471484617953714E-3</v>
      </c>
      <c r="K663" s="3">
        <v>4.5707226926930567E-3</v>
      </c>
      <c r="L663" s="3">
        <v>2</v>
      </c>
      <c r="N663" s="5">
        <v>662</v>
      </c>
      <c r="O663" s="18"/>
      <c r="P663" s="17"/>
    </row>
    <row r="664" spans="1:16" x14ac:dyDescent="0.35">
      <c r="A664" s="34" t="s">
        <v>1531</v>
      </c>
      <c r="B664" s="34" t="s">
        <v>94</v>
      </c>
      <c r="C664" s="34" t="s">
        <v>117</v>
      </c>
      <c r="D664" s="34">
        <v>1.26</v>
      </c>
      <c r="E664" s="34">
        <v>1.26</v>
      </c>
      <c r="F664" s="34">
        <v>1.26</v>
      </c>
      <c r="G664" s="35">
        <v>1.26</v>
      </c>
      <c r="H664" s="36">
        <v>6.2014205931191287E-2</v>
      </c>
      <c r="I664" s="36">
        <v>6.2014205931191287E-2</v>
      </c>
      <c r="J664" s="34">
        <v>0.47346825490947897</v>
      </c>
      <c r="K664" s="34">
        <v>0.7102023823642184</v>
      </c>
      <c r="L664" s="34">
        <v>2</v>
      </c>
      <c r="M664" s="34" t="s">
        <v>2082</v>
      </c>
      <c r="N664" s="37">
        <v>663</v>
      </c>
      <c r="O664" s="18"/>
      <c r="P664" s="17"/>
    </row>
    <row r="665" spans="1:16" x14ac:dyDescent="0.35">
      <c r="A665" s="7" t="s">
        <v>1532</v>
      </c>
      <c r="B665" s="7" t="s">
        <v>96</v>
      </c>
      <c r="C665" s="7" t="s">
        <v>67</v>
      </c>
      <c r="D665" s="7">
        <v>6.92</v>
      </c>
      <c r="E665" s="7">
        <v>6.92</v>
      </c>
      <c r="F665" s="7">
        <v>6.92</v>
      </c>
      <c r="G665" s="11">
        <v>6.92</v>
      </c>
      <c r="H665" s="9">
        <v>20</v>
      </c>
      <c r="I665" s="22">
        <v>6.1441622326302917E-3</v>
      </c>
      <c r="J665" s="7">
        <v>1.2155692041388568E-3</v>
      </c>
      <c r="K665" s="7">
        <v>0.1</v>
      </c>
      <c r="L665" s="7">
        <v>2</v>
      </c>
      <c r="M665" s="7"/>
      <c r="N665" s="8">
        <v>664</v>
      </c>
      <c r="O665" s="18"/>
      <c r="P665" s="17"/>
    </row>
    <row r="666" spans="1:16" x14ac:dyDescent="0.35">
      <c r="A666" s="34" t="s">
        <v>1533</v>
      </c>
      <c r="B666" s="34" t="s">
        <v>99</v>
      </c>
      <c r="C666" s="34" t="s">
        <v>103</v>
      </c>
      <c r="D666" s="34"/>
      <c r="E666" s="34"/>
      <c r="F666" s="7">
        <v>1.8</v>
      </c>
      <c r="G666" s="35">
        <v>0.1</v>
      </c>
      <c r="H666" s="36">
        <v>6.1049383962046419E-3</v>
      </c>
      <c r="I666" s="36">
        <v>6.1049383962046419E-3</v>
      </c>
      <c r="J666" s="34">
        <v>5.7557451154183656</v>
      </c>
      <c r="K666" s="34">
        <v>8.6336176731275476</v>
      </c>
      <c r="L666" s="34">
        <v>2</v>
      </c>
      <c r="M666" s="34" t="s">
        <v>2091</v>
      </c>
      <c r="N666" s="37">
        <v>665</v>
      </c>
      <c r="O666" s="18"/>
      <c r="P666" s="17"/>
    </row>
    <row r="667" spans="1:16" x14ac:dyDescent="0.35">
      <c r="A667" s="3" t="s">
        <v>1534</v>
      </c>
      <c r="B667" s="3" t="s">
        <v>101</v>
      </c>
      <c r="C667" s="3" t="s">
        <v>100</v>
      </c>
      <c r="G667" s="4">
        <v>10.08</v>
      </c>
      <c r="H667" s="17">
        <v>9.8658943167643075E-3</v>
      </c>
      <c r="I667" s="17">
        <v>9.8658943167643075E-3</v>
      </c>
      <c r="J667" s="3">
        <v>4.6109460163740026E-2</v>
      </c>
      <c r="K667" s="3">
        <v>6.9164190245610033E-2</v>
      </c>
      <c r="L667" s="3">
        <v>2</v>
      </c>
      <c r="N667" s="5">
        <v>666</v>
      </c>
      <c r="O667" s="18"/>
      <c r="P667" s="17"/>
    </row>
    <row r="668" spans="1:16" x14ac:dyDescent="0.35">
      <c r="A668" s="3" t="s">
        <v>1535</v>
      </c>
      <c r="B668" s="3" t="s">
        <v>102</v>
      </c>
      <c r="C668" s="3" t="s">
        <v>940</v>
      </c>
      <c r="D668" s="3">
        <v>3.78</v>
      </c>
      <c r="E668" s="3">
        <v>3.78</v>
      </c>
      <c r="F668" s="3">
        <v>3.78</v>
      </c>
      <c r="G668" s="4">
        <v>3.78</v>
      </c>
      <c r="H668" s="17">
        <v>4.7196937488208036E-3</v>
      </c>
      <c r="I668" s="17">
        <v>4.7196937488208036E-3</v>
      </c>
      <c r="J668" s="3">
        <v>3.7757549990566431E-3</v>
      </c>
      <c r="K668" s="3">
        <v>5.6636324985849642E-3</v>
      </c>
      <c r="L668" s="3">
        <v>2</v>
      </c>
      <c r="N668" s="5">
        <v>667</v>
      </c>
      <c r="O668" s="18"/>
      <c r="P668" s="17"/>
    </row>
    <row r="669" spans="1:16" x14ac:dyDescent="0.35">
      <c r="A669" s="3" t="s">
        <v>1536</v>
      </c>
      <c r="B669" s="3" t="s">
        <v>100</v>
      </c>
      <c r="C669" s="3" t="s">
        <v>940</v>
      </c>
      <c r="G669" s="4">
        <v>10.66</v>
      </c>
      <c r="H669" s="17">
        <v>6.4587802288406763E-3</v>
      </c>
      <c r="I669" s="17">
        <v>6.4587802288406763E-3</v>
      </c>
      <c r="J669" s="3">
        <v>5.1670241830725416E-3</v>
      </c>
      <c r="K669" s="3">
        <v>7.7505362746088111E-3</v>
      </c>
      <c r="L669" s="3">
        <v>2</v>
      </c>
      <c r="N669" s="5">
        <v>668</v>
      </c>
      <c r="O669" s="18"/>
      <c r="P669" s="17"/>
    </row>
    <row r="670" spans="1:16" x14ac:dyDescent="0.35">
      <c r="A670" s="3" t="s">
        <v>1537</v>
      </c>
      <c r="B670" s="3" t="s">
        <v>102</v>
      </c>
      <c r="C670" s="3" t="s">
        <v>100</v>
      </c>
      <c r="G670" s="4">
        <v>0.5800000000000004</v>
      </c>
      <c r="H670" s="19">
        <v>1.7631203318631519E-2</v>
      </c>
      <c r="I670" s="19">
        <v>1.7631203318631519E-2</v>
      </c>
      <c r="J670" s="3">
        <v>7.2450471063761528E-3</v>
      </c>
      <c r="K670" s="3">
        <v>1.0867570659564228E-2</v>
      </c>
      <c r="L670" s="3">
        <v>2</v>
      </c>
      <c r="N670" s="5">
        <v>669</v>
      </c>
      <c r="O670" s="18"/>
      <c r="P670" s="17"/>
    </row>
    <row r="671" spans="1:16" x14ac:dyDescent="0.35">
      <c r="A671" s="3" t="s">
        <v>1538</v>
      </c>
      <c r="B671" s="3" t="s">
        <v>105</v>
      </c>
      <c r="C671" s="3" t="s">
        <v>447</v>
      </c>
      <c r="G671" s="4">
        <v>22.280000000000008</v>
      </c>
      <c r="H671" s="17">
        <v>3.0886359901516509E-3</v>
      </c>
      <c r="I671" s="17">
        <v>3.0886359901516509E-3</v>
      </c>
      <c r="J671" s="3">
        <v>6.7495369573310942E-4</v>
      </c>
      <c r="K671" s="3">
        <v>1.0124305435996641E-3</v>
      </c>
      <c r="L671" s="3">
        <v>2</v>
      </c>
      <c r="N671" s="5">
        <v>670</v>
      </c>
      <c r="O671" s="18"/>
      <c r="P671" s="17"/>
    </row>
    <row r="672" spans="1:16" x14ac:dyDescent="0.35">
      <c r="A672" s="3" t="s">
        <v>1539</v>
      </c>
      <c r="B672" s="3" t="s">
        <v>448</v>
      </c>
      <c r="C672" s="3" t="s">
        <v>105</v>
      </c>
      <c r="G672" s="4">
        <v>4.6000000000000014</v>
      </c>
      <c r="H672" s="17">
        <v>2.4221953039216659E-3</v>
      </c>
      <c r="I672" s="17">
        <v>2.4221953039216659E-3</v>
      </c>
      <c r="J672" s="3">
        <v>1.0457642987729185E-3</v>
      </c>
      <c r="K672" s="3">
        <v>1.5686464481593776E-3</v>
      </c>
      <c r="L672" s="3">
        <v>2</v>
      </c>
      <c r="N672" s="5">
        <v>671</v>
      </c>
      <c r="O672" s="18"/>
      <c r="P672" s="17"/>
    </row>
    <row r="673" spans="1:16" x14ac:dyDescent="0.35">
      <c r="A673" s="3" t="s">
        <v>1540</v>
      </c>
      <c r="B673" s="3" t="s">
        <v>106</v>
      </c>
      <c r="C673" s="3" t="s">
        <v>104</v>
      </c>
      <c r="G673" s="4">
        <v>15.8</v>
      </c>
      <c r="H673" s="17">
        <v>9.070709557119765E-3</v>
      </c>
      <c r="I673" s="17">
        <v>9.070709557119765E-3</v>
      </c>
      <c r="J673" s="3">
        <v>5.3227272260936813E-3</v>
      </c>
      <c r="K673" s="3">
        <v>7.9840908391405202E-3</v>
      </c>
      <c r="L673" s="3">
        <v>2</v>
      </c>
      <c r="N673" s="5">
        <v>672</v>
      </c>
      <c r="O673" s="18"/>
      <c r="P673" s="17"/>
    </row>
    <row r="674" spans="1:16" x14ac:dyDescent="0.35">
      <c r="A674" s="3" t="s">
        <v>1541</v>
      </c>
      <c r="B674" s="3" t="s">
        <v>109</v>
      </c>
      <c r="C674" s="3" t="s">
        <v>108</v>
      </c>
      <c r="G674" s="4">
        <v>9.6799999999999979</v>
      </c>
      <c r="H674" s="17">
        <v>7.3403416934780539E-3</v>
      </c>
      <c r="I674" s="17">
        <v>7.3403416934780539E-3</v>
      </c>
      <c r="J674" s="3">
        <v>1.8550523545948945E-2</v>
      </c>
      <c r="K674" s="3">
        <v>2.7825785318923414E-2</v>
      </c>
      <c r="L674" s="3">
        <v>2</v>
      </c>
      <c r="N674" s="5">
        <v>673</v>
      </c>
      <c r="O674" s="18"/>
      <c r="P674" s="17"/>
    </row>
    <row r="675" spans="1:16" x14ac:dyDescent="0.35">
      <c r="A675" s="3" t="s">
        <v>1542</v>
      </c>
      <c r="B675" s="3" t="s">
        <v>110</v>
      </c>
      <c r="C675" s="3" t="s">
        <v>107</v>
      </c>
      <c r="G675" s="4">
        <v>3.32</v>
      </c>
      <c r="H675" s="19">
        <v>3.6793371768340452E-3</v>
      </c>
      <c r="I675" s="19">
        <v>3.6793371768340452E-3</v>
      </c>
      <c r="J675" s="3">
        <v>5.8850808509452596E-3</v>
      </c>
      <c r="K675" s="3">
        <v>8.8276212764178876E-3</v>
      </c>
      <c r="L675" s="3">
        <v>2</v>
      </c>
      <c r="N675" s="5">
        <v>674</v>
      </c>
      <c r="O675" s="18"/>
      <c r="P675" s="17"/>
    </row>
    <row r="676" spans="1:16" x14ac:dyDescent="0.35">
      <c r="A676" s="3" t="s">
        <v>1543</v>
      </c>
      <c r="B676" s="3" t="s">
        <v>112</v>
      </c>
      <c r="C676" s="3" t="s">
        <v>110</v>
      </c>
      <c r="G676" s="4">
        <v>2.72</v>
      </c>
      <c r="H676" s="19">
        <v>3.9306055671370554E-3</v>
      </c>
      <c r="I676" s="19">
        <v>3.9306055671370554E-3</v>
      </c>
      <c r="J676" s="3">
        <v>1.4029207058568569E-2</v>
      </c>
      <c r="K676" s="3">
        <v>2.1043810587852853E-2</v>
      </c>
      <c r="L676" s="3">
        <v>2</v>
      </c>
      <c r="N676" s="5">
        <v>675</v>
      </c>
      <c r="O676" s="18"/>
      <c r="P676" s="17"/>
    </row>
    <row r="677" spans="1:16" x14ac:dyDescent="0.35">
      <c r="A677" s="3" t="s">
        <v>1544</v>
      </c>
      <c r="B677" s="3" t="s">
        <v>889</v>
      </c>
      <c r="C677" s="3" t="s">
        <v>113</v>
      </c>
      <c r="G677" s="4">
        <v>8.5399999999999991</v>
      </c>
      <c r="H677" s="17">
        <v>1.6126321795159059E-2</v>
      </c>
      <c r="I677" s="17">
        <v>1.6126321795159059E-2</v>
      </c>
      <c r="J677" s="3">
        <v>1.2393606497444705E-2</v>
      </c>
      <c r="K677" s="3">
        <v>1.8590409746167054E-2</v>
      </c>
      <c r="L677" s="3">
        <v>2</v>
      </c>
      <c r="N677" s="5">
        <v>676</v>
      </c>
      <c r="O677" s="18"/>
      <c r="P677" s="17"/>
    </row>
    <row r="678" spans="1:16" x14ac:dyDescent="0.35">
      <c r="A678" s="3" t="s">
        <v>1545</v>
      </c>
      <c r="B678" s="3" t="s">
        <v>115</v>
      </c>
      <c r="C678" s="3" t="s">
        <v>261</v>
      </c>
      <c r="D678" s="3">
        <v>3.71</v>
      </c>
      <c r="E678" s="3">
        <v>3.71</v>
      </c>
      <c r="F678" s="3">
        <v>3.71</v>
      </c>
      <c r="G678" s="4">
        <v>3.71</v>
      </c>
      <c r="H678" s="19">
        <v>3.033277635317605E-2</v>
      </c>
      <c r="I678" s="19">
        <v>3.033277635317605E-2</v>
      </c>
      <c r="J678" s="3">
        <v>2.426622108254084E-2</v>
      </c>
      <c r="K678" s="3">
        <v>3.639933162381126E-2</v>
      </c>
      <c r="L678" s="3">
        <v>2</v>
      </c>
      <c r="N678" s="5">
        <v>677</v>
      </c>
      <c r="O678" s="18"/>
      <c r="P678" s="17"/>
    </row>
    <row r="679" spans="1:16" x14ac:dyDescent="0.35">
      <c r="A679" s="3" t="s">
        <v>1546</v>
      </c>
      <c r="B679" s="3" t="s">
        <v>114</v>
      </c>
      <c r="C679" s="3" t="s">
        <v>264</v>
      </c>
      <c r="D679" s="3">
        <v>7.78</v>
      </c>
      <c r="E679" s="3">
        <v>7.78</v>
      </c>
      <c r="F679" s="3">
        <v>7.78</v>
      </c>
      <c r="G679" s="4">
        <v>7.78</v>
      </c>
      <c r="H679" s="17">
        <v>2.3511243511778541E-2</v>
      </c>
      <c r="I679" s="17">
        <v>2.3511243511778541E-2</v>
      </c>
      <c r="J679" s="3">
        <v>1.8808994809422833E-2</v>
      </c>
      <c r="K679" s="3">
        <v>2.8213492214134248E-2</v>
      </c>
      <c r="L679" s="3">
        <v>2</v>
      </c>
      <c r="N679" s="5">
        <v>678</v>
      </c>
      <c r="O679" s="18"/>
      <c r="P679" s="17"/>
    </row>
    <row r="680" spans="1:16" x14ac:dyDescent="0.35">
      <c r="A680" s="3" t="s">
        <v>1547</v>
      </c>
      <c r="B680" s="3" t="s">
        <v>114</v>
      </c>
      <c r="C680" s="3" t="s">
        <v>116</v>
      </c>
      <c r="G680" s="4">
        <v>104.84999999999989</v>
      </c>
      <c r="H680" s="17">
        <v>6.1867368801271777E-3</v>
      </c>
      <c r="I680" s="17">
        <v>6.1867368801271777E-3</v>
      </c>
      <c r="J680" s="3">
        <v>1.0038456624246537E-3</v>
      </c>
      <c r="K680" s="3">
        <v>1.5057684936369802E-3</v>
      </c>
      <c r="L680" s="3">
        <v>2</v>
      </c>
      <c r="N680" s="5">
        <v>679</v>
      </c>
      <c r="O680" s="18"/>
      <c r="P680" s="17"/>
    </row>
    <row r="681" spans="1:16" s="15" customFormat="1" x14ac:dyDescent="0.35">
      <c r="A681" s="15" t="s">
        <v>1548</v>
      </c>
      <c r="B681" s="15" t="s">
        <v>293</v>
      </c>
      <c r="C681" s="15" t="s">
        <v>118</v>
      </c>
      <c r="D681" s="3"/>
      <c r="E681" s="3"/>
      <c r="F681" s="3">
        <v>3.91</v>
      </c>
      <c r="G681" s="4">
        <v>7.232500000000007</v>
      </c>
      <c r="H681" s="8">
        <v>3</v>
      </c>
      <c r="I681" s="24">
        <v>3.6494275926643173E-4</v>
      </c>
      <c r="J681" s="15">
        <v>1.8247137963321586E-4</v>
      </c>
      <c r="K681" s="15">
        <v>0.15802411968910388</v>
      </c>
      <c r="L681" s="15">
        <v>2</v>
      </c>
      <c r="M681" s="15" t="s">
        <v>2068</v>
      </c>
      <c r="N681" s="16">
        <v>680</v>
      </c>
      <c r="O681" s="25"/>
      <c r="P681" s="24"/>
    </row>
    <row r="682" spans="1:16" x14ac:dyDescent="0.35">
      <c r="A682" s="3" t="s">
        <v>1549</v>
      </c>
      <c r="B682" s="3" t="s">
        <v>458</v>
      </c>
      <c r="C682" s="3" t="s">
        <v>28</v>
      </c>
      <c r="G682" s="4">
        <v>6.8400000000000007</v>
      </c>
      <c r="H682" s="17">
        <v>5.3148064279971798E-2</v>
      </c>
      <c r="I682" s="17">
        <v>5.3148064279971798E-2</v>
      </c>
      <c r="J682" s="3">
        <v>4.2518451423977442E-2</v>
      </c>
      <c r="K682" s="3">
        <v>6.377767713596616E-2</v>
      </c>
      <c r="L682" s="3">
        <v>2</v>
      </c>
      <c r="N682" s="5">
        <v>681</v>
      </c>
      <c r="O682" s="18"/>
      <c r="P682" s="17"/>
    </row>
    <row r="683" spans="1:16" x14ac:dyDescent="0.35">
      <c r="A683" s="3" t="s">
        <v>1550</v>
      </c>
      <c r="B683" s="3" t="s">
        <v>449</v>
      </c>
      <c r="C683" s="3" t="s">
        <v>119</v>
      </c>
      <c r="G683" s="4">
        <v>0.3</v>
      </c>
      <c r="H683" s="17">
        <v>1.081336481308466E-3</v>
      </c>
      <c r="I683" s="17">
        <v>1.081336481308466E-3</v>
      </c>
      <c r="J683" s="3">
        <v>8.5919782758467214E-4</v>
      </c>
      <c r="K683" s="3">
        <v>1.288796741377008E-3</v>
      </c>
      <c r="L683" s="3">
        <v>2</v>
      </c>
      <c r="N683" s="5">
        <v>682</v>
      </c>
      <c r="O683" s="18"/>
      <c r="P683" s="17"/>
    </row>
    <row r="684" spans="1:16" x14ac:dyDescent="0.35">
      <c r="A684" s="3" t="s">
        <v>1551</v>
      </c>
      <c r="B684" s="3" t="s">
        <v>120</v>
      </c>
      <c r="C684" s="3" t="s">
        <v>119</v>
      </c>
      <c r="G684" s="4">
        <v>0.1</v>
      </c>
      <c r="H684" s="17">
        <v>5.8233226379541842E-4</v>
      </c>
      <c r="I684" s="17">
        <v>5.8233226379541842E-4</v>
      </c>
      <c r="J684" s="3">
        <f>I684*0.1</f>
        <v>5.8233226379541845E-5</v>
      </c>
      <c r="K684" s="3">
        <f>I684*10</f>
        <v>5.823322637954184E-3</v>
      </c>
      <c r="L684" s="3">
        <v>2</v>
      </c>
      <c r="N684" s="5">
        <v>683</v>
      </c>
      <c r="O684" s="18"/>
      <c r="P684" s="17"/>
    </row>
    <row r="685" spans="1:16" x14ac:dyDescent="0.35">
      <c r="A685" s="3" t="s">
        <v>1552</v>
      </c>
      <c r="B685" s="3" t="s">
        <v>121</v>
      </c>
      <c r="C685" s="3" t="s">
        <v>120</v>
      </c>
      <c r="G685" s="4">
        <v>0.2</v>
      </c>
      <c r="H685" s="19">
        <v>6.0991795615411158E-4</v>
      </c>
      <c r="I685" s="19">
        <v>6.0991795615411158E-4</v>
      </c>
      <c r="J685" s="3">
        <f>I685*0.1</f>
        <v>6.0991795615411158E-5</v>
      </c>
      <c r="K685" s="3">
        <f>I685*10</f>
        <v>6.0991795615411154E-3</v>
      </c>
      <c r="L685" s="3">
        <v>2</v>
      </c>
      <c r="N685" s="5">
        <v>684</v>
      </c>
      <c r="O685" s="18"/>
      <c r="P685" s="17"/>
    </row>
    <row r="686" spans="1:16" x14ac:dyDescent="0.35">
      <c r="A686" s="3" t="s">
        <v>1553</v>
      </c>
      <c r="B686" s="3" t="s">
        <v>450</v>
      </c>
      <c r="C686" s="3" t="s">
        <v>121</v>
      </c>
      <c r="G686" s="4">
        <v>0.3</v>
      </c>
      <c r="H686" s="17">
        <v>1.0375383284191931E-3</v>
      </c>
      <c r="I686" s="17">
        <v>1.0375383284191931E-3</v>
      </c>
      <c r="J686" s="3">
        <f>I686*0.1</f>
        <v>1.0375383284191931E-4</v>
      </c>
      <c r="K686" s="3">
        <f>I686*10</f>
        <v>1.0375383284191931E-2</v>
      </c>
      <c r="L686" s="3">
        <v>2</v>
      </c>
      <c r="N686" s="5">
        <v>685</v>
      </c>
      <c r="O686" s="18"/>
      <c r="P686" s="17"/>
    </row>
    <row r="687" spans="1:16" x14ac:dyDescent="0.35">
      <c r="A687" s="3" t="s">
        <v>1554</v>
      </c>
      <c r="B687" s="3" t="s">
        <v>122</v>
      </c>
      <c r="C687" s="3" t="s">
        <v>449</v>
      </c>
      <c r="G687" s="4">
        <v>0.2</v>
      </c>
      <c r="H687" s="17">
        <v>6.0327533405102362E-4</v>
      </c>
      <c r="I687" s="17">
        <v>6.0327533405102362E-4</v>
      </c>
      <c r="J687" s="3">
        <v>1.6702801327768827E-3</v>
      </c>
      <c r="K687" s="3">
        <v>2.5054201991653239E-3</v>
      </c>
      <c r="L687" s="3">
        <v>2</v>
      </c>
      <c r="N687" s="5">
        <v>686</v>
      </c>
      <c r="O687" s="18"/>
      <c r="P687" s="17"/>
    </row>
    <row r="688" spans="1:16" x14ac:dyDescent="0.35">
      <c r="A688" s="3" t="s">
        <v>1555</v>
      </c>
      <c r="B688" s="3" t="s">
        <v>451</v>
      </c>
      <c r="C688" s="3" t="s">
        <v>450</v>
      </c>
      <c r="G688" s="4">
        <v>0.4</v>
      </c>
      <c r="H688" s="17">
        <v>9.9484283172919692E-4</v>
      </c>
      <c r="I688" s="17">
        <v>9.9484283172919692E-4</v>
      </c>
      <c r="J688" s="3">
        <v>3.9795414983362018E-4</v>
      </c>
      <c r="K688" s="3">
        <v>5.9693122475043027E-4</v>
      </c>
      <c r="L688" s="3">
        <v>2</v>
      </c>
      <c r="N688" s="5">
        <v>687</v>
      </c>
      <c r="O688" s="18"/>
      <c r="P688" s="17"/>
    </row>
    <row r="689" spans="1:16" x14ac:dyDescent="0.35">
      <c r="A689" s="3" t="s">
        <v>1556</v>
      </c>
      <c r="B689" s="3" t="s">
        <v>452</v>
      </c>
      <c r="C689" s="3" t="s">
        <v>272</v>
      </c>
      <c r="D689" s="3">
        <v>6.82</v>
      </c>
      <c r="E689" s="3">
        <v>6.82</v>
      </c>
      <c r="F689" s="3">
        <v>6.82</v>
      </c>
      <c r="G689" s="4">
        <v>6.82</v>
      </c>
      <c r="H689" s="17">
        <v>2.820343287729268E-2</v>
      </c>
      <c r="I689" s="17">
        <v>2.820343287729268E-2</v>
      </c>
      <c r="J689" s="3">
        <v>2.2280466799648471E-2</v>
      </c>
      <c r="K689" s="3">
        <v>3.3420700199472707E-2</v>
      </c>
      <c r="L689" s="3">
        <v>2</v>
      </c>
      <c r="N689" s="5">
        <v>688</v>
      </c>
      <c r="O689" s="18"/>
      <c r="P689" s="17"/>
    </row>
    <row r="690" spans="1:16" x14ac:dyDescent="0.35">
      <c r="A690" s="3" t="s">
        <v>1557</v>
      </c>
      <c r="B690" s="3" t="s">
        <v>452</v>
      </c>
      <c r="C690" s="3" t="s">
        <v>886</v>
      </c>
      <c r="G690" s="4">
        <v>2.100000000000001</v>
      </c>
      <c r="H690" s="17">
        <v>2.567864657120107E-3</v>
      </c>
      <c r="I690" s="17">
        <v>2.567864657120107E-3</v>
      </c>
      <c r="J690" s="3">
        <v>2.0542917256960859E-3</v>
      </c>
      <c r="K690" s="3">
        <v>3.0814375885441282E-3</v>
      </c>
      <c r="L690" s="3">
        <v>2</v>
      </c>
      <c r="N690" s="5">
        <v>689</v>
      </c>
      <c r="O690" s="18"/>
      <c r="P690" s="17"/>
    </row>
    <row r="691" spans="1:16" x14ac:dyDescent="0.35">
      <c r="A691" s="3" t="s">
        <v>1558</v>
      </c>
      <c r="B691" s="3" t="s">
        <v>941</v>
      </c>
      <c r="C691" s="3" t="s">
        <v>459</v>
      </c>
      <c r="G691" s="4">
        <v>0.1</v>
      </c>
      <c r="H691" s="17">
        <v>3.6072156618715892E-2</v>
      </c>
      <c r="I691" s="17">
        <v>3.6072156618715892E-2</v>
      </c>
      <c r="J691" s="3">
        <v>2.8857725294972714E-2</v>
      </c>
      <c r="K691" s="3">
        <v>4.328658794245907E-2</v>
      </c>
      <c r="L691" s="3">
        <v>2</v>
      </c>
      <c r="N691" s="5">
        <v>690</v>
      </c>
      <c r="O691" s="18"/>
      <c r="P691" s="17"/>
    </row>
    <row r="692" spans="1:16" x14ac:dyDescent="0.35">
      <c r="A692" s="3" t="s">
        <v>1559</v>
      </c>
      <c r="B692" s="3" t="s">
        <v>941</v>
      </c>
      <c r="C692" s="3" t="s">
        <v>452</v>
      </c>
      <c r="G692" s="4">
        <v>9.9199999999999982</v>
      </c>
      <c r="H692" s="17">
        <v>2.4041849450149189E-3</v>
      </c>
      <c r="I692" s="17">
        <v>2.4041849450149189E-3</v>
      </c>
      <c r="J692" s="3">
        <v>2.7754239496666994E-3</v>
      </c>
      <c r="K692" s="3">
        <v>4.1631359245000487E-3</v>
      </c>
      <c r="L692" s="3">
        <v>2</v>
      </c>
      <c r="N692" s="5">
        <v>691</v>
      </c>
      <c r="O692" s="18"/>
      <c r="P692" s="17"/>
    </row>
    <row r="693" spans="1:16" x14ac:dyDescent="0.25">
      <c r="A693" s="3" t="s">
        <v>1560</v>
      </c>
      <c r="B693" s="3" t="s">
        <v>453</v>
      </c>
      <c r="C693" s="3" t="s">
        <v>941</v>
      </c>
      <c r="D693" s="3">
        <v>10.02</v>
      </c>
      <c r="E693" s="3">
        <v>10.02</v>
      </c>
      <c r="F693" s="3">
        <v>10.02</v>
      </c>
      <c r="G693" s="4">
        <v>10.02</v>
      </c>
      <c r="H693" s="17">
        <v>2.0769791796899939E-3</v>
      </c>
      <c r="I693" s="17">
        <v>2.0769791796899939E-3</v>
      </c>
      <c r="J693" s="3">
        <f>I693*0.1</f>
        <v>2.0769791796899939E-4</v>
      </c>
      <c r="K693" s="3">
        <f>I693*10</f>
        <v>2.0769791796899938E-2</v>
      </c>
      <c r="L693" s="3">
        <v>2</v>
      </c>
      <c r="N693" s="5">
        <v>692</v>
      </c>
      <c r="P693" s="17"/>
    </row>
    <row r="694" spans="1:16" x14ac:dyDescent="0.25">
      <c r="A694" s="3" t="s">
        <v>1561</v>
      </c>
      <c r="B694" s="3" t="s">
        <v>32</v>
      </c>
      <c r="C694" s="3" t="s">
        <v>453</v>
      </c>
      <c r="G694" s="4">
        <v>13.73</v>
      </c>
      <c r="H694" s="17">
        <v>4.4754488401960481E-3</v>
      </c>
      <c r="I694" s="17">
        <v>4.4754488401960481E-3</v>
      </c>
      <c r="J694" s="3">
        <f>I694*0.1</f>
        <v>4.4754488401960483E-4</v>
      </c>
      <c r="K694" s="3">
        <f>I694*10</f>
        <v>4.4754488401960481E-2</v>
      </c>
      <c r="L694" s="3">
        <v>2</v>
      </c>
      <c r="N694" s="5">
        <v>693</v>
      </c>
      <c r="P694" s="17"/>
    </row>
    <row r="695" spans="1:16" x14ac:dyDescent="0.25">
      <c r="A695" s="3" t="s">
        <v>1562</v>
      </c>
      <c r="B695" s="3" t="s">
        <v>259</v>
      </c>
      <c r="C695" s="3" t="s">
        <v>32</v>
      </c>
      <c r="G695" s="4">
        <v>11.52</v>
      </c>
      <c r="H695" s="17">
        <v>1.715403858647932E-2</v>
      </c>
      <c r="I695" s="17">
        <v>1.715403858647932E-2</v>
      </c>
      <c r="J695" s="3">
        <v>1.3723230869183457E-2</v>
      </c>
      <c r="K695" s="3">
        <v>2.0584846303775182E-2</v>
      </c>
      <c r="L695" s="3">
        <v>2</v>
      </c>
      <c r="N695" s="5">
        <v>694</v>
      </c>
      <c r="P695" s="17"/>
    </row>
    <row r="696" spans="1:16" x14ac:dyDescent="0.25">
      <c r="A696" s="3" t="s">
        <v>1563</v>
      </c>
      <c r="B696" s="3" t="s">
        <v>259</v>
      </c>
      <c r="C696" s="3" t="s">
        <v>942</v>
      </c>
      <c r="G696" s="4">
        <v>90.989999999999839</v>
      </c>
      <c r="H696" s="17">
        <v>1.364148635065995E-2</v>
      </c>
      <c r="I696" s="17">
        <v>1.364148635065995E-2</v>
      </c>
      <c r="J696" s="3">
        <v>6.8207431753299751E-3</v>
      </c>
      <c r="K696" s="3">
        <v>1.2169549053452572E-2</v>
      </c>
      <c r="L696" s="3">
        <v>2</v>
      </c>
      <c r="N696" s="5">
        <v>695</v>
      </c>
      <c r="P696" s="17"/>
    </row>
    <row r="697" spans="1:16" x14ac:dyDescent="0.25">
      <c r="A697" s="3" t="s">
        <v>1564</v>
      </c>
      <c r="B697" s="3" t="s">
        <v>260</v>
      </c>
      <c r="C697" s="3" t="s">
        <v>267</v>
      </c>
      <c r="G697" s="4">
        <v>6.5299999999999994</v>
      </c>
      <c r="H697" s="17">
        <v>9.8149006053461652E-3</v>
      </c>
      <c r="I697" s="17">
        <v>9.8149006053461652E-3</v>
      </c>
      <c r="J697" s="3">
        <v>4.9074503026730826E-3</v>
      </c>
      <c r="K697" s="3">
        <v>8.6945186631739849E-2</v>
      </c>
      <c r="L697" s="3">
        <v>2</v>
      </c>
      <c r="N697" s="5">
        <v>696</v>
      </c>
      <c r="P697" s="17"/>
    </row>
    <row r="698" spans="1:16" x14ac:dyDescent="0.25">
      <c r="A698" s="3" t="s">
        <v>1565</v>
      </c>
      <c r="B698" s="3" t="s">
        <v>262</v>
      </c>
      <c r="C698" s="3" t="s">
        <v>268</v>
      </c>
      <c r="G698" s="4">
        <v>1.02</v>
      </c>
      <c r="H698" s="17">
        <v>1.3235920992083251E-2</v>
      </c>
      <c r="I698" s="17">
        <v>1.3235920992083251E-2</v>
      </c>
      <c r="J698" s="3">
        <v>1.0588736793666601E-2</v>
      </c>
      <c r="K698" s="3">
        <v>1.5883105190499899E-2</v>
      </c>
      <c r="L698" s="3">
        <v>2</v>
      </c>
      <c r="N698" s="5">
        <v>697</v>
      </c>
      <c r="P698" s="17"/>
    </row>
    <row r="699" spans="1:16" x14ac:dyDescent="0.25">
      <c r="A699" s="3" t="s">
        <v>1566</v>
      </c>
      <c r="B699" s="3" t="s">
        <v>455</v>
      </c>
      <c r="C699" s="3" t="s">
        <v>263</v>
      </c>
      <c r="G699" s="4">
        <v>0.95999999999999985</v>
      </c>
      <c r="H699" s="17">
        <v>2.2821900378038901E-2</v>
      </c>
      <c r="I699" s="17">
        <v>2.2821900378038901E-2</v>
      </c>
      <c r="J699" s="3">
        <v>1.8257520302431121E-2</v>
      </c>
      <c r="K699" s="3">
        <v>2.7386280453646682E-2</v>
      </c>
      <c r="L699" s="3">
        <v>2</v>
      </c>
      <c r="N699" s="5">
        <v>698</v>
      </c>
      <c r="P699" s="17"/>
    </row>
    <row r="700" spans="1:16" x14ac:dyDescent="0.25">
      <c r="A700" s="3" t="s">
        <v>1567</v>
      </c>
      <c r="B700" s="3" t="s">
        <v>265</v>
      </c>
      <c r="C700" s="3" t="s">
        <v>269</v>
      </c>
      <c r="D700" s="3">
        <v>3.65</v>
      </c>
      <c r="E700" s="3">
        <v>3.65</v>
      </c>
      <c r="F700" s="3">
        <v>3.65</v>
      </c>
      <c r="G700" s="4">
        <v>3.65</v>
      </c>
      <c r="H700" s="17">
        <v>1.620170225450673E-2</v>
      </c>
      <c r="I700" s="17">
        <v>1.620170225450673E-2</v>
      </c>
      <c r="J700" s="3">
        <v>1.2961361803605385E-2</v>
      </c>
      <c r="K700" s="3">
        <v>1.9442042705408075E-2</v>
      </c>
      <c r="L700" s="3">
        <v>2</v>
      </c>
      <c r="N700" s="5">
        <v>699</v>
      </c>
      <c r="P700" s="17"/>
    </row>
    <row r="701" spans="1:16" x14ac:dyDescent="0.25">
      <c r="A701" s="3" t="s">
        <v>1568</v>
      </c>
      <c r="B701" s="3" t="s">
        <v>264</v>
      </c>
      <c r="C701" s="3" t="s">
        <v>270</v>
      </c>
      <c r="G701" s="4">
        <v>7.88</v>
      </c>
      <c r="H701" s="17">
        <v>1.7045643356900779E-2</v>
      </c>
      <c r="I701" s="17">
        <v>1.7045643356900779E-2</v>
      </c>
      <c r="J701" s="3">
        <v>1.3636514685520624E-2</v>
      </c>
      <c r="K701" s="3">
        <v>2.0454772028280933E-2</v>
      </c>
      <c r="L701" s="3">
        <v>2</v>
      </c>
      <c r="N701" s="5">
        <v>700</v>
      </c>
      <c r="P701" s="17"/>
    </row>
    <row r="702" spans="1:16" x14ac:dyDescent="0.25">
      <c r="A702" s="3" t="s">
        <v>1569</v>
      </c>
      <c r="B702" s="3" t="s">
        <v>298</v>
      </c>
      <c r="C702" s="3" t="s">
        <v>274</v>
      </c>
      <c r="D702" s="3">
        <v>12.63</v>
      </c>
      <c r="E702" s="3">
        <v>12.63</v>
      </c>
      <c r="F702" s="3">
        <v>12.63</v>
      </c>
      <c r="G702" s="4">
        <v>12.63</v>
      </c>
      <c r="H702" s="17">
        <v>6.193489648397903E-3</v>
      </c>
      <c r="I702" s="17">
        <v>6.193489648397903E-3</v>
      </c>
      <c r="J702" s="3">
        <v>3.6347050841121178E-2</v>
      </c>
      <c r="K702" s="3">
        <v>5.4520576261681761E-2</v>
      </c>
      <c r="L702" s="3">
        <v>2</v>
      </c>
      <c r="N702" s="5">
        <v>701</v>
      </c>
      <c r="P702" s="17"/>
    </row>
    <row r="703" spans="1:16" x14ac:dyDescent="0.25">
      <c r="A703" s="34" t="s">
        <v>1570</v>
      </c>
      <c r="B703" s="34" t="s">
        <v>442</v>
      </c>
      <c r="C703" s="34" t="s">
        <v>271</v>
      </c>
      <c r="D703" s="34"/>
      <c r="E703" s="34"/>
      <c r="F703" s="7">
        <v>3</v>
      </c>
      <c r="G703" s="35">
        <v>0.1</v>
      </c>
      <c r="H703" s="36">
        <v>3.3262535584454469E-3</v>
      </c>
      <c r="I703" s="36">
        <v>3.3262535584454469E-3</v>
      </c>
      <c r="J703" s="34">
        <v>15.967377005395727</v>
      </c>
      <c r="K703" s="34">
        <v>23.951065508093588</v>
      </c>
      <c r="L703" s="34">
        <v>2</v>
      </c>
      <c r="M703" s="34" t="s">
        <v>2092</v>
      </c>
      <c r="N703" s="37">
        <v>702</v>
      </c>
      <c r="P703" s="17"/>
    </row>
    <row r="704" spans="1:16" x14ac:dyDescent="0.25">
      <c r="A704" s="3" t="s">
        <v>1571</v>
      </c>
      <c r="B704" s="3" t="s">
        <v>272</v>
      </c>
      <c r="C704" s="3" t="s">
        <v>271</v>
      </c>
      <c r="G704" s="4">
        <v>6.1200000000000019</v>
      </c>
      <c r="H704" s="17">
        <v>5.0125215015547351E-3</v>
      </c>
      <c r="I704" s="17">
        <v>5.0125215015547351E-3</v>
      </c>
      <c r="J704" s="3">
        <v>1.5259345705315456E-2</v>
      </c>
      <c r="K704" s="3">
        <v>2.2889018557973182E-2</v>
      </c>
      <c r="L704" s="3">
        <v>2</v>
      </c>
      <c r="N704" s="5">
        <v>703</v>
      </c>
      <c r="P704" s="17"/>
    </row>
    <row r="705" spans="1:16" x14ac:dyDescent="0.25">
      <c r="A705" s="3" t="s">
        <v>1572</v>
      </c>
      <c r="B705" s="3" t="s">
        <v>272</v>
      </c>
      <c r="C705" s="3" t="s">
        <v>256</v>
      </c>
      <c r="G705" s="4">
        <v>0.69999999999999862</v>
      </c>
      <c r="H705" s="17">
        <v>6.1834861262458612E-3</v>
      </c>
      <c r="I705" s="17">
        <v>6.1834861262458612E-3</v>
      </c>
      <c r="J705" s="3">
        <v>4.9467889009966893E-3</v>
      </c>
      <c r="K705" s="3">
        <v>7.4201833514950331E-3</v>
      </c>
      <c r="L705" s="3">
        <v>2</v>
      </c>
      <c r="N705" s="5">
        <v>704</v>
      </c>
      <c r="P705" s="17"/>
    </row>
    <row r="706" spans="1:16" x14ac:dyDescent="0.25">
      <c r="A706" s="3" t="s">
        <v>1573</v>
      </c>
      <c r="B706" s="3" t="s">
        <v>285</v>
      </c>
      <c r="C706" s="3" t="s">
        <v>274</v>
      </c>
      <c r="D706" s="3">
        <v>15.11</v>
      </c>
      <c r="E706" s="3">
        <v>15.11</v>
      </c>
      <c r="F706" s="3">
        <v>15.11</v>
      </c>
      <c r="G706" s="4">
        <v>15.11</v>
      </c>
      <c r="H706" s="17">
        <v>5.8424584299538772E-3</v>
      </c>
      <c r="I706" s="17">
        <v>5.8424584299538772E-3</v>
      </c>
      <c r="J706" s="3">
        <v>1.2994501135016809E-3</v>
      </c>
      <c r="K706" s="3">
        <v>1.9491751702525213E-3</v>
      </c>
      <c r="L706" s="3">
        <v>2</v>
      </c>
      <c r="N706" s="5">
        <v>705</v>
      </c>
      <c r="P706" s="17"/>
    </row>
    <row r="707" spans="1:16" x14ac:dyDescent="0.25">
      <c r="A707" s="3" t="s">
        <v>1574</v>
      </c>
      <c r="B707" s="3" t="s">
        <v>274</v>
      </c>
      <c r="C707" s="3" t="s">
        <v>279</v>
      </c>
      <c r="G707" s="4">
        <v>27.74</v>
      </c>
      <c r="H707" s="17">
        <v>9.379771698018298E-3</v>
      </c>
      <c r="I707" s="17">
        <v>9.379771698018298E-3</v>
      </c>
      <c r="J707" s="3">
        <f>I707*0.8</f>
        <v>7.5038173584146385E-3</v>
      </c>
      <c r="K707" s="3">
        <f>I707*1.2</f>
        <v>1.1255726037621957E-2</v>
      </c>
      <c r="L707" s="3">
        <v>2</v>
      </c>
      <c r="N707" s="5">
        <v>706</v>
      </c>
      <c r="P707" s="17"/>
    </row>
    <row r="708" spans="1:16" x14ac:dyDescent="0.25">
      <c r="A708" s="34" t="s">
        <v>1575</v>
      </c>
      <c r="B708" s="34" t="s">
        <v>305</v>
      </c>
      <c r="C708" s="34" t="s">
        <v>460</v>
      </c>
      <c r="D708" s="34"/>
      <c r="E708" s="34"/>
      <c r="F708" s="7"/>
      <c r="G708" s="11">
        <v>0.56750000000000833</v>
      </c>
      <c r="H708" s="36">
        <v>1.1171009042684451E-2</v>
      </c>
      <c r="I708" s="36">
        <v>1.1171009042684451E-2</v>
      </c>
      <c r="J708" s="34">
        <v>8.0127071573247687E-3</v>
      </c>
      <c r="K708" s="34">
        <v>1.2019060735987151E-2</v>
      </c>
      <c r="L708" s="34">
        <v>2</v>
      </c>
      <c r="M708" s="34" t="s">
        <v>2093</v>
      </c>
      <c r="N708" s="37">
        <v>707</v>
      </c>
      <c r="P708" s="17"/>
    </row>
    <row r="709" spans="1:16" x14ac:dyDescent="0.25">
      <c r="A709" s="34" t="s">
        <v>1576</v>
      </c>
      <c r="B709" s="34" t="s">
        <v>460</v>
      </c>
      <c r="C709" s="34" t="s">
        <v>277</v>
      </c>
      <c r="D709" s="34"/>
      <c r="E709" s="34"/>
      <c r="F709" s="34"/>
      <c r="G709" s="11">
        <v>4.8199999999999994</v>
      </c>
      <c r="H709" s="36">
        <v>4.6015303670848594E-3</v>
      </c>
      <c r="I709" s="36">
        <v>4.6015303670848594E-3</v>
      </c>
      <c r="J709" s="34">
        <v>2.6085815500997093E-3</v>
      </c>
      <c r="K709" s="34">
        <v>3.9128723251495631E-3</v>
      </c>
      <c r="L709" s="34">
        <v>2</v>
      </c>
      <c r="M709" s="34" t="s">
        <v>2094</v>
      </c>
      <c r="N709" s="37">
        <v>708</v>
      </c>
      <c r="P709" s="17"/>
    </row>
    <row r="710" spans="1:16" x14ac:dyDescent="0.25">
      <c r="A710" s="3" t="s">
        <v>1577</v>
      </c>
      <c r="B710" s="3" t="s">
        <v>275</v>
      </c>
      <c r="C710" s="3" t="s">
        <v>943</v>
      </c>
      <c r="D710" s="3">
        <v>132.4</v>
      </c>
      <c r="E710" s="3">
        <v>132.4</v>
      </c>
      <c r="F710" s="3">
        <v>132.4</v>
      </c>
      <c r="G710" s="4">
        <v>132.4</v>
      </c>
      <c r="H710" s="17">
        <v>1.5727760896552659E-2</v>
      </c>
      <c r="I710" s="17">
        <v>1.5727760896552659E-2</v>
      </c>
      <c r="J710" s="3">
        <v>4.1347477382118183E-3</v>
      </c>
      <c r="K710" s="3">
        <v>6.2021216073177262E-3</v>
      </c>
      <c r="L710" s="3">
        <v>2</v>
      </c>
      <c r="N710" s="5">
        <v>709</v>
      </c>
      <c r="P710" s="17"/>
    </row>
    <row r="711" spans="1:16" x14ac:dyDescent="0.25">
      <c r="A711" s="3" t="s">
        <v>1578</v>
      </c>
      <c r="B711" s="3" t="s">
        <v>277</v>
      </c>
      <c r="C711" s="3" t="s">
        <v>665</v>
      </c>
      <c r="D711" s="3">
        <v>37.799999999999997</v>
      </c>
      <c r="E711" s="3">
        <v>37.799999999999997</v>
      </c>
      <c r="F711" s="3">
        <v>37.799999999999997</v>
      </c>
      <c r="G711" s="4">
        <v>37.799999999999997</v>
      </c>
      <c r="H711" s="17">
        <v>4.9271578225055859E-3</v>
      </c>
      <c r="I711" s="17">
        <v>4.9271578225055859E-3</v>
      </c>
      <c r="J711" s="3">
        <v>2.5756878784825026E-3</v>
      </c>
      <c r="K711" s="3">
        <v>3.8635318177237536E-3</v>
      </c>
      <c r="L711" s="3">
        <v>2</v>
      </c>
      <c r="N711" s="5">
        <v>710</v>
      </c>
      <c r="P711" s="17"/>
    </row>
    <row r="712" spans="1:16" x14ac:dyDescent="0.25">
      <c r="A712" s="3" t="s">
        <v>1579</v>
      </c>
      <c r="B712" s="3" t="s">
        <v>476</v>
      </c>
      <c r="C712" s="3" t="s">
        <v>944</v>
      </c>
      <c r="G712" s="4">
        <v>14.98999999999999</v>
      </c>
      <c r="H712" s="17">
        <v>1.5592670749228149E-3</v>
      </c>
      <c r="I712" s="17">
        <v>1.5592670749228149E-3</v>
      </c>
      <c r="J712" s="3">
        <f>I712*0.8</f>
        <v>1.247413659938252E-3</v>
      </c>
      <c r="K712" s="3">
        <f>I712*1.2</f>
        <v>1.8711204899073779E-3</v>
      </c>
      <c r="L712" s="3">
        <v>2</v>
      </c>
      <c r="N712" s="5">
        <v>711</v>
      </c>
      <c r="P712" s="17"/>
    </row>
    <row r="713" spans="1:16" x14ac:dyDescent="0.25">
      <c r="A713" s="3" t="s">
        <v>1580</v>
      </c>
      <c r="B713" s="3" t="s">
        <v>278</v>
      </c>
      <c r="C713" s="3" t="s">
        <v>474</v>
      </c>
      <c r="G713" s="4">
        <v>19.7</v>
      </c>
      <c r="H713" s="17">
        <v>4.4275588349994626E-3</v>
      </c>
      <c r="I713" s="17">
        <v>4.4275588349994626E-3</v>
      </c>
      <c r="J713" s="3">
        <v>2.2520361556053969E-3</v>
      </c>
      <c r="K713" s="3">
        <v>3.3780542334080955E-3</v>
      </c>
      <c r="L713" s="3">
        <v>2</v>
      </c>
      <c r="N713" s="5">
        <v>712</v>
      </c>
      <c r="P713" s="17"/>
    </row>
    <row r="714" spans="1:16" x14ac:dyDescent="0.25">
      <c r="A714" s="3" t="s">
        <v>1581</v>
      </c>
      <c r="B714" s="3" t="s">
        <v>279</v>
      </c>
      <c r="C714" s="3" t="s">
        <v>494</v>
      </c>
      <c r="G714" s="4">
        <v>7.9400000000000031</v>
      </c>
      <c r="H714" s="17">
        <v>2.154383350595317E-2</v>
      </c>
      <c r="I714" s="17">
        <v>2.154383350595317E-2</v>
      </c>
      <c r="J714" s="3">
        <v>9.0836873142779214E-3</v>
      </c>
      <c r="K714" s="3">
        <v>1.362553097141688E-2</v>
      </c>
      <c r="L714" s="3">
        <v>2</v>
      </c>
      <c r="N714" s="5">
        <v>713</v>
      </c>
      <c r="P714" s="17"/>
    </row>
    <row r="715" spans="1:16" s="14" customFormat="1" ht="16" x14ac:dyDescent="0.35">
      <c r="A715" s="14" t="s">
        <v>1582</v>
      </c>
      <c r="B715" s="14" t="s">
        <v>280</v>
      </c>
      <c r="C715" s="14" t="s">
        <v>932</v>
      </c>
      <c r="D715" s="3">
        <v>296.01</v>
      </c>
      <c r="E715" s="3">
        <v>296.01</v>
      </c>
      <c r="F715" s="3">
        <v>296.01</v>
      </c>
      <c r="G715" s="4">
        <v>296.01</v>
      </c>
      <c r="H715" s="29">
        <v>2.8303120915882233E-3</v>
      </c>
      <c r="I715" s="29">
        <v>2.8303120915882233E-3</v>
      </c>
      <c r="J715" s="14">
        <v>5.6606241831764462E-4</v>
      </c>
      <c r="K715" s="14">
        <v>5.4487845718107063E-3</v>
      </c>
      <c r="L715" s="14">
        <v>2</v>
      </c>
      <c r="M715" s="21" t="s">
        <v>2079</v>
      </c>
      <c r="N715" s="5">
        <v>714</v>
      </c>
      <c r="P715" s="20"/>
    </row>
    <row r="716" spans="1:16" s="14" customFormat="1" ht="16" x14ac:dyDescent="0.35">
      <c r="A716" s="14" t="s">
        <v>1583</v>
      </c>
      <c r="B716" s="14" t="s">
        <v>945</v>
      </c>
      <c r="C716" s="14" t="s">
        <v>675</v>
      </c>
      <c r="D716" s="3">
        <v>201.36</v>
      </c>
      <c r="E716" s="3">
        <v>201.36</v>
      </c>
      <c r="F716" s="3">
        <v>201.36</v>
      </c>
      <c r="G716" s="4">
        <v>201.36</v>
      </c>
      <c r="H716" s="20">
        <v>1.1540426589754403E-3</v>
      </c>
      <c r="I716" s="20">
        <v>1.1540426589754403E-3</v>
      </c>
      <c r="J716" s="14">
        <v>3.6325230478738042E-3</v>
      </c>
      <c r="K716" s="14">
        <v>1.3574644151506986E-2</v>
      </c>
      <c r="L716" s="14">
        <v>2</v>
      </c>
      <c r="M716" s="21" t="s">
        <v>2080</v>
      </c>
      <c r="N716" s="5">
        <v>715</v>
      </c>
      <c r="P716" s="20"/>
    </row>
    <row r="717" spans="1:16" x14ac:dyDescent="0.25">
      <c r="A717" s="34" t="s">
        <v>1584</v>
      </c>
      <c r="B717" s="34" t="s">
        <v>462</v>
      </c>
      <c r="C717" s="34" t="s">
        <v>754</v>
      </c>
      <c r="D717" s="34"/>
      <c r="E717" s="34"/>
      <c r="F717" s="7">
        <v>7</v>
      </c>
      <c r="G717" s="35">
        <v>9.9600000000000009</v>
      </c>
      <c r="H717" s="36">
        <v>8.4160111678126849E-3</v>
      </c>
      <c r="I717" s="36">
        <v>8.4160111678126849E-3</v>
      </c>
      <c r="J717" s="34">
        <v>0.16153651600726321</v>
      </c>
      <c r="K717" s="34">
        <v>0.24230477401089479</v>
      </c>
      <c r="L717" s="34">
        <v>2</v>
      </c>
      <c r="M717" s="34" t="s">
        <v>2095</v>
      </c>
      <c r="N717" s="37">
        <v>716</v>
      </c>
      <c r="P717" s="17"/>
    </row>
    <row r="718" spans="1:16" x14ac:dyDescent="0.25">
      <c r="A718" s="3" t="s">
        <v>1585</v>
      </c>
      <c r="B718" s="3" t="s">
        <v>282</v>
      </c>
      <c r="C718" s="3" t="s">
        <v>39</v>
      </c>
      <c r="G718" s="4">
        <v>83.809999999999832</v>
      </c>
      <c r="H718" s="17">
        <v>2.2358108841456219E-2</v>
      </c>
      <c r="I718" s="17">
        <v>2.2358108841456219E-2</v>
      </c>
      <c r="J718" s="3">
        <f>I718*0.8</f>
        <v>1.7886487073164977E-2</v>
      </c>
      <c r="K718" s="3">
        <f>I718*1.2</f>
        <v>2.682973060974746E-2</v>
      </c>
      <c r="L718" s="3">
        <v>2</v>
      </c>
      <c r="N718" s="5">
        <v>717</v>
      </c>
      <c r="P718" s="17"/>
    </row>
    <row r="719" spans="1:16" x14ac:dyDescent="0.25">
      <c r="A719" s="3" t="s">
        <v>1586</v>
      </c>
      <c r="B719" s="3" t="s">
        <v>479</v>
      </c>
      <c r="C719" s="3" t="s">
        <v>283</v>
      </c>
      <c r="D719" s="3">
        <v>85.44</v>
      </c>
      <c r="E719" s="3">
        <v>85.44</v>
      </c>
      <c r="F719" s="3">
        <v>85.44</v>
      </c>
      <c r="G719" s="4">
        <v>85.44</v>
      </c>
      <c r="H719" s="17">
        <v>6.9864511733872057E-4</v>
      </c>
      <c r="I719" s="17">
        <v>6.9864511733872057E-4</v>
      </c>
      <c r="J719" s="3">
        <v>2.2643962978407631E-4</v>
      </c>
      <c r="K719" s="3">
        <v>3.3965944467611442E-4</v>
      </c>
      <c r="L719" s="3">
        <v>2</v>
      </c>
      <c r="N719" s="5">
        <v>718</v>
      </c>
      <c r="P719" s="17"/>
    </row>
    <row r="720" spans="1:16" x14ac:dyDescent="0.25">
      <c r="A720" s="34" t="s">
        <v>1587</v>
      </c>
      <c r="B720" s="34" t="s">
        <v>282</v>
      </c>
      <c r="C720" s="34" t="s">
        <v>889</v>
      </c>
      <c r="D720" s="34"/>
      <c r="E720" s="34"/>
      <c r="F720" s="7">
        <v>2.4300000000000002</v>
      </c>
      <c r="G720" s="35">
        <v>0.1</v>
      </c>
      <c r="H720" s="36">
        <v>2.9505531458458661E-3</v>
      </c>
      <c r="I720" s="36">
        <v>2.9505531458458661E-3</v>
      </c>
      <c r="J720" s="34">
        <v>1.8574704913325992E-2</v>
      </c>
      <c r="K720" s="34">
        <v>2.786205736998899E-2</v>
      </c>
      <c r="L720" s="34">
        <v>2</v>
      </c>
      <c r="M720" s="34" t="s">
        <v>2096</v>
      </c>
      <c r="N720" s="37">
        <v>719</v>
      </c>
      <c r="P720" s="17"/>
    </row>
    <row r="721" spans="1:16" x14ac:dyDescent="0.25">
      <c r="A721" s="3" t="s">
        <v>1588</v>
      </c>
      <c r="B721" s="3" t="s">
        <v>448</v>
      </c>
      <c r="C721" s="3" t="s">
        <v>464</v>
      </c>
      <c r="G721" s="4">
        <v>0.1</v>
      </c>
      <c r="H721" s="17">
        <v>0.10559978630665159</v>
      </c>
      <c r="I721" s="17">
        <v>0.10559978630665159</v>
      </c>
      <c r="J721" s="3">
        <v>0.10393676009758353</v>
      </c>
      <c r="K721" s="3">
        <v>0.15590514014637527</v>
      </c>
      <c r="L721" s="3">
        <v>2</v>
      </c>
      <c r="N721" s="5">
        <v>720</v>
      </c>
      <c r="P721" s="17"/>
    </row>
    <row r="722" spans="1:16" x14ac:dyDescent="0.25">
      <c r="A722" s="3" t="s">
        <v>1589</v>
      </c>
      <c r="B722" s="3" t="s">
        <v>283</v>
      </c>
      <c r="C722" s="3" t="s">
        <v>946</v>
      </c>
      <c r="G722" s="4">
        <v>4.7700000000000067</v>
      </c>
      <c r="H722" s="17">
        <v>2.5703743050482851E-3</v>
      </c>
      <c r="I722" s="17">
        <v>2.5703743050482851E-3</v>
      </c>
      <c r="J722" s="3">
        <v>2.0562994440386281E-3</v>
      </c>
      <c r="K722" s="3">
        <v>3.0844491660579421E-3</v>
      </c>
      <c r="L722" s="3">
        <v>2</v>
      </c>
      <c r="N722" s="5">
        <v>721</v>
      </c>
      <c r="P722" s="17"/>
    </row>
    <row r="723" spans="1:16" x14ac:dyDescent="0.25">
      <c r="A723" s="3" t="s">
        <v>1590</v>
      </c>
      <c r="B723" s="3" t="s">
        <v>283</v>
      </c>
      <c r="C723" s="3" t="s">
        <v>466</v>
      </c>
      <c r="G723" s="4">
        <v>80.669999999999987</v>
      </c>
      <c r="H723" s="17">
        <v>3.9636655803207952E-4</v>
      </c>
      <c r="I723" s="17">
        <v>3.9636655803207952E-4</v>
      </c>
      <c r="J723" s="3">
        <v>2.0832901030104793E-4</v>
      </c>
      <c r="K723" s="3">
        <v>3.1249351545157189E-4</v>
      </c>
      <c r="L723" s="3">
        <v>2</v>
      </c>
      <c r="N723" s="5">
        <v>722</v>
      </c>
      <c r="P723" s="17"/>
    </row>
    <row r="724" spans="1:16" x14ac:dyDescent="0.25">
      <c r="A724" s="3" t="s">
        <v>1591</v>
      </c>
      <c r="B724" s="3" t="s">
        <v>944</v>
      </c>
      <c r="C724" s="3" t="s">
        <v>506</v>
      </c>
      <c r="G724" s="4">
        <v>15.13999999999999</v>
      </c>
      <c r="H724" s="17">
        <v>1.0120730637788631E-2</v>
      </c>
      <c r="I724" s="17">
        <v>1.0120730637788631E-2</v>
      </c>
      <c r="J724" s="3">
        <v>6.477104642449176E-2</v>
      </c>
      <c r="K724" s="3">
        <v>9.7156569636737647E-2</v>
      </c>
      <c r="L724" s="3">
        <v>2</v>
      </c>
      <c r="N724" s="5">
        <v>723</v>
      </c>
      <c r="P724" s="17"/>
    </row>
    <row r="725" spans="1:16" x14ac:dyDescent="0.25">
      <c r="A725" s="34" t="s">
        <v>1592</v>
      </c>
      <c r="B725" s="34" t="s">
        <v>466</v>
      </c>
      <c r="C725" s="34" t="s">
        <v>947</v>
      </c>
      <c r="D725" s="34"/>
      <c r="E725" s="34"/>
      <c r="F725" s="34"/>
      <c r="G725" s="11">
        <v>0.1</v>
      </c>
      <c r="H725" s="36">
        <v>5.7421296530389673E-2</v>
      </c>
      <c r="I725" s="36">
        <v>5.7421296530389673E-2</v>
      </c>
      <c r="J725" s="34">
        <v>3.6330548663167299</v>
      </c>
      <c r="K725" s="34">
        <v>5.4495822994750949</v>
      </c>
      <c r="L725" s="34">
        <v>2</v>
      </c>
      <c r="M725" s="34" t="s">
        <v>2082</v>
      </c>
      <c r="N725" s="37">
        <v>724</v>
      </c>
      <c r="P725" s="17"/>
    </row>
    <row r="726" spans="1:16" x14ac:dyDescent="0.25">
      <c r="A726" s="3" t="s">
        <v>1593</v>
      </c>
      <c r="B726" s="3" t="s">
        <v>292</v>
      </c>
      <c r="C726" s="3" t="s">
        <v>877</v>
      </c>
      <c r="G726" s="4">
        <v>3.6200000000000112</v>
      </c>
      <c r="H726" s="17">
        <v>1.48479352268359E-2</v>
      </c>
      <c r="I726" s="17">
        <v>1.48479352268359E-2</v>
      </c>
      <c r="J726" s="3">
        <v>1.424082380939201E-2</v>
      </c>
      <c r="K726" s="3">
        <v>2.1361235714088014E-2</v>
      </c>
      <c r="L726" s="3">
        <v>2</v>
      </c>
      <c r="N726" s="5">
        <v>725</v>
      </c>
      <c r="P726" s="17"/>
    </row>
    <row r="727" spans="1:16" x14ac:dyDescent="0.25">
      <c r="A727" s="3" t="s">
        <v>1594</v>
      </c>
      <c r="B727" s="3" t="s">
        <v>877</v>
      </c>
      <c r="C727" s="3" t="s">
        <v>948</v>
      </c>
      <c r="G727" s="4">
        <v>0.27000000000001062</v>
      </c>
      <c r="H727" s="17">
        <v>1.4760337317764429E-2</v>
      </c>
      <c r="I727" s="17">
        <v>1.4760337317764429E-2</v>
      </c>
      <c r="J727" s="3">
        <v>5.922873440671805E-3</v>
      </c>
      <c r="K727" s="3">
        <v>8.8843101610077066E-3</v>
      </c>
      <c r="L727" s="3">
        <v>2</v>
      </c>
      <c r="N727" s="5">
        <v>726</v>
      </c>
      <c r="P727" s="17"/>
    </row>
    <row r="728" spans="1:16" x14ac:dyDescent="0.25">
      <c r="A728" s="3" t="s">
        <v>1595</v>
      </c>
      <c r="B728" s="3" t="s">
        <v>948</v>
      </c>
      <c r="C728" s="3" t="s">
        <v>284</v>
      </c>
      <c r="G728" s="4">
        <v>10.000000000000011</v>
      </c>
      <c r="H728" s="17">
        <v>1.6860355766059772E-2</v>
      </c>
      <c r="I728" s="17">
        <v>1.6860355766059772E-2</v>
      </c>
      <c r="J728" s="3">
        <v>6.9521926973677237E-3</v>
      </c>
      <c r="K728" s="3">
        <v>1.0428289046051585E-2</v>
      </c>
      <c r="L728" s="3">
        <v>2</v>
      </c>
      <c r="N728" s="5">
        <v>727</v>
      </c>
      <c r="P728" s="17"/>
    </row>
    <row r="729" spans="1:16" x14ac:dyDescent="0.25">
      <c r="A729" s="3" t="s">
        <v>1596</v>
      </c>
      <c r="B729" s="3" t="s">
        <v>284</v>
      </c>
      <c r="C729" s="3" t="s">
        <v>949</v>
      </c>
      <c r="G729" s="4">
        <v>11.19750000000003</v>
      </c>
      <c r="H729" s="17">
        <v>2.196622154684379E-2</v>
      </c>
      <c r="I729" s="17">
        <v>2.196622154684379E-2</v>
      </c>
      <c r="J729" s="3">
        <v>1.1671173663642313E-2</v>
      </c>
      <c r="K729" s="3">
        <v>1.7506760495463469E-2</v>
      </c>
      <c r="L729" s="3">
        <v>2</v>
      </c>
      <c r="N729" s="5">
        <v>728</v>
      </c>
      <c r="P729" s="17"/>
    </row>
    <row r="730" spans="1:16" x14ac:dyDescent="0.25">
      <c r="A730" s="34" t="s">
        <v>1597</v>
      </c>
      <c r="B730" s="34" t="s">
        <v>295</v>
      </c>
      <c r="C730" s="34" t="s">
        <v>284</v>
      </c>
      <c r="D730" s="34"/>
      <c r="E730" s="34"/>
      <c r="F730" s="34"/>
      <c r="G730" s="11">
        <v>1.1975000000000151</v>
      </c>
      <c r="H730" s="36">
        <v>7.9282161631709265E-3</v>
      </c>
      <c r="I730" s="36">
        <v>7.9282161631709265E-3</v>
      </c>
      <c r="J730" s="34">
        <v>1.0179109586176825E-2</v>
      </c>
      <c r="K730" s="34">
        <v>1.5268664379265235E-2</v>
      </c>
      <c r="L730" s="34">
        <v>2</v>
      </c>
      <c r="M730" s="34" t="s">
        <v>2085</v>
      </c>
      <c r="N730" s="37">
        <v>729</v>
      </c>
      <c r="P730" s="17"/>
    </row>
    <row r="731" spans="1:16" x14ac:dyDescent="0.25">
      <c r="A731" s="34" t="s">
        <v>1598</v>
      </c>
      <c r="B731" s="34" t="s">
        <v>949</v>
      </c>
      <c r="C731" s="34" t="s">
        <v>512</v>
      </c>
      <c r="D731" s="34"/>
      <c r="E731" s="34"/>
      <c r="F731" s="7">
        <v>4.29</v>
      </c>
      <c r="G731" s="35">
        <v>2.7150000000000261</v>
      </c>
      <c r="H731" s="36">
        <v>4.682777853564439E-2</v>
      </c>
      <c r="I731" s="36">
        <v>4.682777853564439E-2</v>
      </c>
      <c r="J731" s="34">
        <v>0.84580609553875519</v>
      </c>
      <c r="K731" s="34">
        <v>1.2687091433081328</v>
      </c>
      <c r="L731" s="34">
        <v>2</v>
      </c>
      <c r="M731" s="34" t="s">
        <v>2097</v>
      </c>
      <c r="N731" s="37">
        <v>730</v>
      </c>
      <c r="P731" s="17"/>
    </row>
    <row r="732" spans="1:16" x14ac:dyDescent="0.25">
      <c r="A732" s="3" t="s">
        <v>1599</v>
      </c>
      <c r="B732" s="3" t="s">
        <v>950</v>
      </c>
      <c r="C732" s="3" t="s">
        <v>944</v>
      </c>
      <c r="D732" s="3">
        <v>0.15</v>
      </c>
      <c r="E732" s="3">
        <v>0.15</v>
      </c>
      <c r="F732" s="3">
        <v>0.15</v>
      </c>
      <c r="G732" s="4">
        <v>0.15</v>
      </c>
      <c r="H732" s="17">
        <v>0.75002927089155791</v>
      </c>
      <c r="I732" s="17">
        <v>0.75002927089155791</v>
      </c>
      <c r="J732" s="3">
        <v>0.60002341671324633</v>
      </c>
      <c r="K732" s="3">
        <v>0.90003512506986949</v>
      </c>
      <c r="L732" s="3">
        <v>2</v>
      </c>
      <c r="N732" s="5">
        <v>731</v>
      </c>
      <c r="P732" s="17"/>
    </row>
    <row r="733" spans="1:16" x14ac:dyDescent="0.25">
      <c r="A733" s="3" t="s">
        <v>1600</v>
      </c>
      <c r="B733" s="3" t="s">
        <v>950</v>
      </c>
      <c r="C733" s="3" t="s">
        <v>948</v>
      </c>
      <c r="D733" s="3">
        <v>9.73</v>
      </c>
      <c r="E733" s="3">
        <v>9.73</v>
      </c>
      <c r="F733" s="3">
        <v>9.73</v>
      </c>
      <c r="G733" s="4">
        <v>9.73</v>
      </c>
      <c r="H733" s="17">
        <v>1.425050441571139E-3</v>
      </c>
      <c r="I733" s="17">
        <v>1.425050441571139E-3</v>
      </c>
      <c r="J733" s="3">
        <v>6.1170246433782166E-4</v>
      </c>
      <c r="K733" s="3">
        <v>9.1755369650673227E-4</v>
      </c>
      <c r="L733" s="3">
        <v>2</v>
      </c>
      <c r="N733" s="5">
        <v>732</v>
      </c>
      <c r="P733" s="17"/>
    </row>
    <row r="734" spans="1:16" x14ac:dyDescent="0.25">
      <c r="A734" s="3" t="s">
        <v>1601</v>
      </c>
      <c r="B734" s="3" t="s">
        <v>288</v>
      </c>
      <c r="C734" s="3" t="s">
        <v>950</v>
      </c>
      <c r="G734" s="4">
        <v>9.8800000000000008</v>
      </c>
      <c r="H734" s="17">
        <v>2.9080455203576582E-3</v>
      </c>
      <c r="I734" s="17">
        <v>2.9080455203576582E-3</v>
      </c>
      <c r="J734" s="3">
        <v>1.2368629561137106E-3</v>
      </c>
      <c r="K734" s="3">
        <v>1.8552944341705656E-3</v>
      </c>
      <c r="L734" s="3">
        <v>2</v>
      </c>
      <c r="N734" s="5">
        <v>733</v>
      </c>
      <c r="P734" s="17"/>
    </row>
    <row r="735" spans="1:16" x14ac:dyDescent="0.25">
      <c r="A735" s="34" t="s">
        <v>1602</v>
      </c>
      <c r="B735" s="34" t="s">
        <v>467</v>
      </c>
      <c r="C735" s="34" t="s">
        <v>951</v>
      </c>
      <c r="D735" s="34"/>
      <c r="E735" s="34"/>
      <c r="F735" s="34"/>
      <c r="G735" s="11">
        <v>10.19</v>
      </c>
      <c r="H735" s="36">
        <v>5.8686664600238407E-2</v>
      </c>
      <c r="I735" s="36">
        <v>5.8686664600238407E-2</v>
      </c>
      <c r="J735" s="34">
        <v>9.2892579180022167E-2</v>
      </c>
      <c r="K735" s="34">
        <v>0.13933886877003324</v>
      </c>
      <c r="L735" s="34">
        <v>2</v>
      </c>
      <c r="M735" s="34" t="s">
        <v>2082</v>
      </c>
      <c r="N735" s="37">
        <v>734</v>
      </c>
      <c r="P735" s="17"/>
    </row>
    <row r="736" spans="1:16" x14ac:dyDescent="0.25">
      <c r="A736" s="3" t="s">
        <v>1603</v>
      </c>
      <c r="B736" s="3" t="s">
        <v>300</v>
      </c>
      <c r="C736" s="3" t="s">
        <v>952</v>
      </c>
      <c r="G736" s="4">
        <v>31.36</v>
      </c>
      <c r="H736" s="17">
        <v>1.370635172972068E-2</v>
      </c>
      <c r="I736" s="17">
        <v>1.370635172972068E-2</v>
      </c>
      <c r="J736" s="3">
        <v>2.133229616879756E-2</v>
      </c>
      <c r="K736" s="3">
        <v>3.199844425319634E-2</v>
      </c>
      <c r="L736" s="3">
        <v>2</v>
      </c>
      <c r="N736" s="5">
        <v>735</v>
      </c>
      <c r="P736" s="17"/>
    </row>
    <row r="737" spans="1:16" x14ac:dyDescent="0.25">
      <c r="A737" s="3" t="s">
        <v>1604</v>
      </c>
      <c r="B737" s="3" t="s">
        <v>952</v>
      </c>
      <c r="C737" s="3" t="s">
        <v>470</v>
      </c>
      <c r="D737" s="3">
        <v>16.54</v>
      </c>
      <c r="E737" s="3">
        <v>16.54</v>
      </c>
      <c r="F737" s="3">
        <v>16.54</v>
      </c>
      <c r="G737" s="4">
        <v>16.54</v>
      </c>
      <c r="H737" s="17">
        <v>1.0367931469516371E-2</v>
      </c>
      <c r="I737" s="17">
        <v>1.0367931469516371E-2</v>
      </c>
      <c r="J737" s="3">
        <v>1.5990209549697331E-2</v>
      </c>
      <c r="K737" s="3">
        <v>2.3985314324545991E-2</v>
      </c>
      <c r="L737" s="3">
        <v>2</v>
      </c>
      <c r="N737" s="5">
        <v>736</v>
      </c>
      <c r="P737" s="17"/>
    </row>
    <row r="738" spans="1:16" x14ac:dyDescent="0.25">
      <c r="A738" s="3" t="s">
        <v>1605</v>
      </c>
      <c r="B738" s="3" t="s">
        <v>470</v>
      </c>
      <c r="C738" s="3" t="s">
        <v>953</v>
      </c>
      <c r="G738" s="4">
        <v>3.4900000000000011</v>
      </c>
      <c r="H738" s="17">
        <v>9.8936924960635903E-3</v>
      </c>
      <c r="I738" s="17">
        <v>9.8936924960635903E-3</v>
      </c>
      <c r="J738" s="3">
        <v>7.9149539968508733E-3</v>
      </c>
      <c r="K738" s="3">
        <v>1.1872430995276307E-2</v>
      </c>
      <c r="L738" s="3">
        <v>2</v>
      </c>
      <c r="N738" s="5">
        <v>737</v>
      </c>
      <c r="P738" s="17"/>
    </row>
    <row r="739" spans="1:16" x14ac:dyDescent="0.25">
      <c r="A739" s="3" t="s">
        <v>1606</v>
      </c>
      <c r="B739" s="3" t="s">
        <v>953</v>
      </c>
      <c r="C739" s="3" t="s">
        <v>472</v>
      </c>
      <c r="G739" s="4">
        <v>15.734999999999999</v>
      </c>
      <c r="H739" s="17">
        <v>1.429651239880483E-2</v>
      </c>
      <c r="I739" s="17">
        <v>1.429651239880483E-2</v>
      </c>
      <c r="J739" s="3">
        <v>2.1295155896696727E-2</v>
      </c>
      <c r="K739" s="3">
        <v>3.194273384504509E-2</v>
      </c>
      <c r="L739" s="3">
        <v>2</v>
      </c>
      <c r="N739" s="5">
        <v>738</v>
      </c>
      <c r="P739" s="17"/>
    </row>
    <row r="740" spans="1:16" x14ac:dyDescent="0.25">
      <c r="A740" s="3" t="s">
        <v>1607</v>
      </c>
      <c r="B740" s="3" t="s">
        <v>472</v>
      </c>
      <c r="C740" s="3" t="s">
        <v>488</v>
      </c>
      <c r="G740" s="4">
        <v>4.0100000000000007</v>
      </c>
      <c r="H740" s="17">
        <v>6.1731994333557738</v>
      </c>
      <c r="I740" s="17">
        <v>6.1731994333557738</v>
      </c>
      <c r="J740" s="3">
        <f>I740*0.8</f>
        <v>4.9385595466846191</v>
      </c>
      <c r="K740" s="3">
        <f>I740*1.2</f>
        <v>7.4078393200269286</v>
      </c>
      <c r="L740" s="3">
        <v>2</v>
      </c>
      <c r="N740" s="5">
        <v>739</v>
      </c>
      <c r="P740" s="17"/>
    </row>
    <row r="741" spans="1:16" x14ac:dyDescent="0.25">
      <c r="A741" s="34" t="s">
        <v>1608</v>
      </c>
      <c r="B741" s="34" t="s">
        <v>473</v>
      </c>
      <c r="C741" s="34" t="s">
        <v>954</v>
      </c>
      <c r="D741" s="34"/>
      <c r="E741" s="34"/>
      <c r="F741" s="7">
        <v>1.26</v>
      </c>
      <c r="G741" s="35">
        <v>4.3399999999999963</v>
      </c>
      <c r="H741" s="36">
        <v>3.8075670836480148E-2</v>
      </c>
      <c r="I741" s="36">
        <v>3.8075670836480148E-2</v>
      </c>
      <c r="J741" s="34">
        <v>0.29957874014013769</v>
      </c>
      <c r="K741" s="34">
        <v>0.44936811021020656</v>
      </c>
      <c r="L741" s="34">
        <v>2</v>
      </c>
      <c r="M741" s="34" t="s">
        <v>2097</v>
      </c>
      <c r="N741" s="37">
        <v>740</v>
      </c>
      <c r="P741" s="17"/>
    </row>
    <row r="742" spans="1:16" x14ac:dyDescent="0.25">
      <c r="A742" s="3" t="s">
        <v>1609</v>
      </c>
      <c r="B742" s="3" t="s">
        <v>288</v>
      </c>
      <c r="C742" s="3" t="s">
        <v>289</v>
      </c>
      <c r="G742" s="4">
        <v>32.534999999999989</v>
      </c>
      <c r="H742" s="17">
        <v>8.0153386446691092E-4</v>
      </c>
      <c r="I742" s="17">
        <v>8.0153386446691092E-4</v>
      </c>
      <c r="J742" s="3">
        <v>1.4253353217663815E-4</v>
      </c>
      <c r="K742" s="3">
        <v>2.1380029826495724E-4</v>
      </c>
      <c r="L742" s="3">
        <v>2</v>
      </c>
      <c r="N742" s="5">
        <v>741</v>
      </c>
      <c r="P742" s="17"/>
    </row>
    <row r="743" spans="1:16" x14ac:dyDescent="0.25">
      <c r="A743" s="3" t="s">
        <v>1610</v>
      </c>
      <c r="B743" s="3" t="s">
        <v>289</v>
      </c>
      <c r="C743" s="3" t="s">
        <v>539</v>
      </c>
      <c r="G743" s="4">
        <v>32.334999999999987</v>
      </c>
      <c r="H743" s="17">
        <v>3.9405876085959017E-3</v>
      </c>
      <c r="I743" s="17">
        <v>3.9405876085959017E-3</v>
      </c>
      <c r="J743" s="3">
        <v>1.6584115818527E-3</v>
      </c>
      <c r="K743" s="3">
        <v>2.4876173727790499E-3</v>
      </c>
      <c r="L743" s="3">
        <v>2</v>
      </c>
      <c r="N743" s="5">
        <v>742</v>
      </c>
      <c r="P743" s="17"/>
    </row>
    <row r="744" spans="1:16" x14ac:dyDescent="0.25">
      <c r="A744" s="3" t="s">
        <v>1611</v>
      </c>
      <c r="B744" s="3" t="s">
        <v>292</v>
      </c>
      <c r="C744" s="3" t="s">
        <v>290</v>
      </c>
      <c r="D744" s="3">
        <v>7</v>
      </c>
      <c r="E744" s="3">
        <v>7</v>
      </c>
      <c r="F744" s="3">
        <v>7</v>
      </c>
      <c r="G744" s="4">
        <v>7</v>
      </c>
      <c r="H744" s="17">
        <v>1.550608982591653E-3</v>
      </c>
      <c r="I744" s="17">
        <v>1.550608982591653E-3</v>
      </c>
      <c r="J744" s="3">
        <v>1.4116424797964249E-3</v>
      </c>
      <c r="K744" s="3">
        <v>2.1174637196946372E-3</v>
      </c>
      <c r="L744" s="3">
        <v>2</v>
      </c>
      <c r="N744" s="5">
        <v>743</v>
      </c>
      <c r="P744" s="17"/>
    </row>
    <row r="745" spans="1:16" x14ac:dyDescent="0.25">
      <c r="A745" s="3" t="s">
        <v>1612</v>
      </c>
      <c r="B745" s="3" t="s">
        <v>294</v>
      </c>
      <c r="C745" s="3" t="s">
        <v>955</v>
      </c>
      <c r="D745" s="3">
        <v>32.64</v>
      </c>
      <c r="E745" s="3">
        <v>32.64</v>
      </c>
      <c r="F745" s="3">
        <v>32.64</v>
      </c>
      <c r="G745" s="4">
        <v>32.64</v>
      </c>
      <c r="H745" s="19">
        <v>3.5750578952474651E-3</v>
      </c>
      <c r="I745" s="19">
        <v>3.5750578952474651E-3</v>
      </c>
      <c r="J745" s="3">
        <v>2.0038342236495042E-3</v>
      </c>
      <c r="K745" s="3">
        <v>3.0057513354742557E-3</v>
      </c>
      <c r="L745" s="3">
        <v>2</v>
      </c>
      <c r="N745" s="5">
        <v>744</v>
      </c>
      <c r="P745" s="17"/>
    </row>
    <row r="746" spans="1:16" x14ac:dyDescent="0.25">
      <c r="A746" s="7" t="s">
        <v>1613</v>
      </c>
      <c r="B746" s="7" t="s">
        <v>295</v>
      </c>
      <c r="C746" s="7" t="s">
        <v>607</v>
      </c>
      <c r="D746" s="7"/>
      <c r="E746" s="7"/>
      <c r="F746" s="7"/>
      <c r="G746" s="11">
        <v>9.7674999999999699</v>
      </c>
      <c r="H746" s="8">
        <v>2</v>
      </c>
      <c r="I746" s="22">
        <v>9.1476395199769946E-3</v>
      </c>
      <c r="J746" s="7">
        <v>1.8295279039953988E-4</v>
      </c>
      <c r="K746" s="7">
        <v>0.45738197599884972</v>
      </c>
      <c r="L746" s="7">
        <v>2</v>
      </c>
      <c r="M746" s="7"/>
      <c r="N746" s="8">
        <v>745</v>
      </c>
      <c r="P746" s="17"/>
    </row>
    <row r="747" spans="1:16" x14ac:dyDescent="0.25">
      <c r="A747" s="3" t="s">
        <v>1614</v>
      </c>
      <c r="B747" s="3" t="s">
        <v>293</v>
      </c>
      <c r="C747" s="3" t="s">
        <v>515</v>
      </c>
      <c r="G747" s="4">
        <v>33.889999999999993</v>
      </c>
      <c r="H747" s="17">
        <v>4.5044552314881421E-3</v>
      </c>
      <c r="I747" s="17">
        <v>4.5044552314881421E-3</v>
      </c>
      <c r="J747" s="3">
        <f>I747*0.1</f>
        <v>4.5044552314881425E-4</v>
      </c>
      <c r="K747" s="3">
        <f>I747*10</f>
        <v>4.5044552314881421E-2</v>
      </c>
      <c r="L747" s="3">
        <v>2</v>
      </c>
      <c r="N747" s="5">
        <v>746</v>
      </c>
      <c r="P747" s="17"/>
    </row>
    <row r="748" spans="1:16" x14ac:dyDescent="0.25">
      <c r="A748" s="34" t="s">
        <v>1615</v>
      </c>
      <c r="B748" s="34" t="s">
        <v>300</v>
      </c>
      <c r="C748" s="34" t="s">
        <v>956</v>
      </c>
      <c r="D748" s="34">
        <v>41.08</v>
      </c>
      <c r="E748" s="34">
        <v>41.08</v>
      </c>
      <c r="F748" s="34">
        <v>41.08</v>
      </c>
      <c r="G748" s="35">
        <v>41.08</v>
      </c>
      <c r="H748" s="36">
        <v>8.8020658798426844E-3</v>
      </c>
      <c r="I748" s="36">
        <v>8.8020658798426844E-3</v>
      </c>
      <c r="J748" s="34">
        <v>3.7360330601823866E-3</v>
      </c>
      <c r="K748" s="34">
        <v>5.6040495902735799E-3</v>
      </c>
      <c r="L748" s="34">
        <v>2</v>
      </c>
      <c r="M748" s="34" t="s">
        <v>2084</v>
      </c>
      <c r="N748" s="37">
        <v>747</v>
      </c>
      <c r="P748" s="17"/>
    </row>
    <row r="749" spans="1:16" x14ac:dyDescent="0.25">
      <c r="A749" s="3" t="s">
        <v>1616</v>
      </c>
      <c r="B749" s="3" t="s">
        <v>956</v>
      </c>
      <c r="C749" s="3" t="s">
        <v>297</v>
      </c>
      <c r="G749" s="4">
        <v>55.899999999999991</v>
      </c>
      <c r="H749" s="17">
        <v>6.4606211199755856E-4</v>
      </c>
      <c r="I749" s="17">
        <v>6.4606211199755856E-4</v>
      </c>
      <c r="J749" s="3">
        <v>5.6690302502936845E-5</v>
      </c>
      <c r="K749" s="3">
        <v>8.5035453754405267E-5</v>
      </c>
      <c r="L749" s="3">
        <v>2</v>
      </c>
      <c r="N749" s="5">
        <v>748</v>
      </c>
      <c r="P749" s="17"/>
    </row>
    <row r="750" spans="1:16" x14ac:dyDescent="0.25">
      <c r="A750" s="3" t="s">
        <v>1617</v>
      </c>
      <c r="B750" s="3" t="s">
        <v>297</v>
      </c>
      <c r="C750" s="3" t="s">
        <v>957</v>
      </c>
      <c r="G750" s="4">
        <v>44.859999999999992</v>
      </c>
      <c r="H750" s="17">
        <v>2.9437958980034732E-3</v>
      </c>
      <c r="I750" s="17">
        <v>2.9437958980034732E-3</v>
      </c>
      <c r="J750" s="3">
        <f>I750*0.8</f>
        <v>2.3550367184027787E-3</v>
      </c>
      <c r="K750" s="3">
        <f>I750*1.2</f>
        <v>3.5325550776041676E-3</v>
      </c>
      <c r="L750" s="3">
        <v>2</v>
      </c>
      <c r="N750" s="5">
        <v>749</v>
      </c>
      <c r="P750" s="17"/>
    </row>
    <row r="751" spans="1:16" x14ac:dyDescent="0.25">
      <c r="A751" s="7" t="s">
        <v>1618</v>
      </c>
      <c r="B751" s="7" t="s">
        <v>297</v>
      </c>
      <c r="C751" s="7" t="s">
        <v>296</v>
      </c>
      <c r="D751" s="7"/>
      <c r="E751" s="7"/>
      <c r="F751" s="7"/>
      <c r="G751" s="11">
        <v>11.04</v>
      </c>
      <c r="H751" s="8">
        <v>7</v>
      </c>
      <c r="I751" s="28">
        <v>1.0616337030320429E-3</v>
      </c>
      <c r="J751" s="7">
        <v>1.0000000000000001E-5</v>
      </c>
      <c r="K751" s="7">
        <v>5.7102446225901202E-2</v>
      </c>
      <c r="L751" s="7">
        <v>2</v>
      </c>
      <c r="M751" s="7"/>
      <c r="N751" s="8">
        <v>750</v>
      </c>
      <c r="P751" s="17"/>
    </row>
    <row r="752" spans="1:16" x14ac:dyDescent="0.25">
      <c r="A752" s="3" t="s">
        <v>1619</v>
      </c>
      <c r="B752" s="3" t="s">
        <v>957</v>
      </c>
      <c r="C752" s="3" t="s">
        <v>298</v>
      </c>
      <c r="G752" s="4">
        <v>44.959999999999987</v>
      </c>
      <c r="H752" s="17">
        <v>7.6802724388557689E-4</v>
      </c>
      <c r="I752" s="17">
        <v>7.6802724388557689E-4</v>
      </c>
      <c r="J752" s="3">
        <f>I752*0.8</f>
        <v>6.1442179510846158E-4</v>
      </c>
      <c r="K752" s="3">
        <f>I752*1.2</f>
        <v>9.2163269266269221E-4</v>
      </c>
      <c r="L752" s="3">
        <v>2</v>
      </c>
      <c r="N752" s="5">
        <v>751</v>
      </c>
      <c r="P752" s="17"/>
    </row>
    <row r="753" spans="1:16" x14ac:dyDescent="0.25">
      <c r="A753" s="3" t="s">
        <v>1620</v>
      </c>
      <c r="B753" s="3" t="s">
        <v>298</v>
      </c>
      <c r="C753" s="3" t="s">
        <v>958</v>
      </c>
      <c r="G753" s="4">
        <v>32.33</v>
      </c>
      <c r="H753" s="17">
        <v>2.1576619483228061E-3</v>
      </c>
      <c r="I753" s="17">
        <v>2.1576619483228061E-3</v>
      </c>
      <c r="J753" s="3">
        <v>2.3266995896412519E-4</v>
      </c>
      <c r="K753" s="3">
        <v>3.4900493844618776E-4</v>
      </c>
      <c r="L753" s="3">
        <v>2</v>
      </c>
      <c r="N753" s="5">
        <v>752</v>
      </c>
      <c r="P753" s="17"/>
    </row>
    <row r="754" spans="1:16" x14ac:dyDescent="0.25">
      <c r="A754" s="3" t="s">
        <v>1621</v>
      </c>
      <c r="B754" s="3" t="s">
        <v>958</v>
      </c>
      <c r="C754" s="3" t="s">
        <v>875</v>
      </c>
      <c r="D754" s="3">
        <v>20.085000000000001</v>
      </c>
      <c r="E754" s="3">
        <v>20.085000000000001</v>
      </c>
      <c r="F754" s="3">
        <v>20.085000000000001</v>
      </c>
      <c r="G754" s="4">
        <v>20.085000000000001</v>
      </c>
      <c r="H754" s="17">
        <v>4.1432995397857452E-3</v>
      </c>
      <c r="I754" s="17">
        <v>4.1432995397857452E-3</v>
      </c>
      <c r="J754" s="3">
        <v>1.8131175987466689E-3</v>
      </c>
      <c r="K754" s="3">
        <v>2.719676398120003E-3</v>
      </c>
      <c r="L754" s="3">
        <v>2</v>
      </c>
      <c r="N754" s="5">
        <v>753</v>
      </c>
      <c r="P754" s="17"/>
    </row>
    <row r="755" spans="1:16" x14ac:dyDescent="0.25">
      <c r="A755" s="3" t="s">
        <v>1622</v>
      </c>
      <c r="B755" s="3" t="s">
        <v>875</v>
      </c>
      <c r="C755" s="3" t="s">
        <v>954</v>
      </c>
      <c r="D755" s="3">
        <v>14.78</v>
      </c>
      <c r="E755" s="3">
        <v>14.78</v>
      </c>
      <c r="F755" s="3">
        <v>14.78</v>
      </c>
      <c r="G755" s="4">
        <v>14.78</v>
      </c>
      <c r="H755" s="17">
        <v>5.9554826213676611E-3</v>
      </c>
      <c r="I755" s="17">
        <v>5.9554826213676611E-3</v>
      </c>
      <c r="J755" s="3">
        <v>3.4371981570578609E-3</v>
      </c>
      <c r="K755" s="3">
        <v>5.1557972355867907E-3</v>
      </c>
      <c r="L755" s="3">
        <v>2</v>
      </c>
      <c r="N755" s="5">
        <v>754</v>
      </c>
      <c r="P755" s="17"/>
    </row>
    <row r="756" spans="1:16" x14ac:dyDescent="0.25">
      <c r="A756" s="3" t="s">
        <v>1623</v>
      </c>
      <c r="B756" s="3" t="s">
        <v>954</v>
      </c>
      <c r="C756" s="3" t="s">
        <v>495</v>
      </c>
      <c r="G756" s="4">
        <v>19.12</v>
      </c>
      <c r="H756" s="17">
        <v>3.141477150798864E-3</v>
      </c>
      <c r="I756" s="17">
        <v>3.141477150798864E-3</v>
      </c>
      <c r="J756" s="3">
        <v>2.1013730778899377E-3</v>
      </c>
      <c r="K756" s="3">
        <v>3.1520596168349065E-3</v>
      </c>
      <c r="L756" s="3">
        <v>2</v>
      </c>
      <c r="N756" s="5">
        <v>755</v>
      </c>
      <c r="P756" s="17"/>
    </row>
    <row r="757" spans="1:16" x14ac:dyDescent="0.25">
      <c r="A757" s="3" t="s">
        <v>1624</v>
      </c>
      <c r="B757" s="3" t="s">
        <v>959</v>
      </c>
      <c r="C757" s="3" t="s">
        <v>960</v>
      </c>
      <c r="G757" s="4">
        <v>6.0950000000000006</v>
      </c>
      <c r="H757" s="17">
        <v>9.9868039667636715E-3</v>
      </c>
      <c r="I757" s="17">
        <v>9.9868039667636715E-3</v>
      </c>
      <c r="J757" s="3">
        <v>4.9934019833818358E-3</v>
      </c>
      <c r="K757" s="3">
        <v>8.2401918950817041E-2</v>
      </c>
      <c r="L757" s="3">
        <v>2</v>
      </c>
      <c r="N757" s="5">
        <v>756</v>
      </c>
      <c r="P757" s="17"/>
    </row>
    <row r="758" spans="1:16" x14ac:dyDescent="0.25">
      <c r="A758" s="3" t="s">
        <v>1625</v>
      </c>
      <c r="B758" s="3" t="s">
        <v>960</v>
      </c>
      <c r="C758" s="3" t="s">
        <v>961</v>
      </c>
      <c r="G758" s="4">
        <v>2.0800000000000032</v>
      </c>
      <c r="H758" s="17">
        <v>7.5045599327818319E-3</v>
      </c>
      <c r="I758" s="17">
        <v>7.5045599327818319E-3</v>
      </c>
      <c r="J758" s="3">
        <v>1.1584840746207569E-2</v>
      </c>
      <c r="K758" s="3">
        <v>1.737726111931135E-2</v>
      </c>
      <c r="L758" s="3">
        <v>2</v>
      </c>
      <c r="N758" s="5">
        <v>757</v>
      </c>
      <c r="P758" s="17"/>
    </row>
    <row r="759" spans="1:16" x14ac:dyDescent="0.25">
      <c r="A759" s="3" t="s">
        <v>1626</v>
      </c>
      <c r="B759" s="3" t="s">
        <v>301</v>
      </c>
      <c r="C759" s="3" t="s">
        <v>961</v>
      </c>
      <c r="G759" s="4">
        <v>0.1</v>
      </c>
      <c r="H759" s="17">
        <v>1.9627210685169341E-3</v>
      </c>
      <c r="I759" s="17">
        <v>1.9627210685169341E-3</v>
      </c>
      <c r="J759" s="3">
        <v>1.5701768548135474E-3</v>
      </c>
      <c r="K759" s="3">
        <v>2.3552652822203209E-3</v>
      </c>
      <c r="L759" s="3">
        <v>2</v>
      </c>
      <c r="N759" s="5">
        <v>758</v>
      </c>
      <c r="P759" s="17"/>
    </row>
    <row r="760" spans="1:16" x14ac:dyDescent="0.25">
      <c r="A760" s="3" t="s">
        <v>1627</v>
      </c>
      <c r="B760" s="3" t="s">
        <v>301</v>
      </c>
      <c r="C760" s="3" t="s">
        <v>303</v>
      </c>
      <c r="G760" s="4">
        <v>38.070000000000007</v>
      </c>
      <c r="H760" s="17">
        <v>7.6644909372751719E-3</v>
      </c>
      <c r="I760" s="17">
        <v>7.6644909372751719E-3</v>
      </c>
      <c r="J760" s="3">
        <v>3.0805977472549307E-3</v>
      </c>
      <c r="K760" s="3">
        <v>4.6208966208823952E-3</v>
      </c>
      <c r="L760" s="3">
        <v>2</v>
      </c>
      <c r="N760" s="5">
        <v>759</v>
      </c>
      <c r="P760" s="17"/>
    </row>
    <row r="761" spans="1:16" x14ac:dyDescent="0.25">
      <c r="A761" s="3" t="s">
        <v>1628</v>
      </c>
      <c r="B761" s="3" t="s">
        <v>669</v>
      </c>
      <c r="C761" s="3" t="s">
        <v>301</v>
      </c>
      <c r="G761" s="4">
        <v>38.170000000000023</v>
      </c>
      <c r="H761" s="17">
        <v>1.13624711269727E-2</v>
      </c>
      <c r="I761" s="17">
        <v>1.13624711269727E-2</v>
      </c>
      <c r="J761" s="3">
        <v>6.4614603304996941E-3</v>
      </c>
      <c r="K761" s="3">
        <v>9.6921904957495402E-3</v>
      </c>
      <c r="L761" s="3">
        <v>2</v>
      </c>
      <c r="N761" s="5">
        <v>760</v>
      </c>
      <c r="P761" s="17"/>
    </row>
    <row r="762" spans="1:16" x14ac:dyDescent="0.25">
      <c r="A762" s="3" t="s">
        <v>1629</v>
      </c>
      <c r="B762" s="3" t="s">
        <v>303</v>
      </c>
      <c r="C762" s="3" t="s">
        <v>304</v>
      </c>
      <c r="G762" s="4">
        <v>37.614999999999988</v>
      </c>
      <c r="H762" s="17">
        <v>7.4009696954856138E-3</v>
      </c>
      <c r="I762" s="17">
        <v>7.4009696954856138E-3</v>
      </c>
      <c r="J762" s="3">
        <v>1.4340314187000825E-3</v>
      </c>
      <c r="K762" s="3">
        <v>2.1510471280501236E-3</v>
      </c>
      <c r="L762" s="3">
        <v>2</v>
      </c>
      <c r="N762" s="5">
        <v>761</v>
      </c>
      <c r="P762" s="17"/>
    </row>
    <row r="763" spans="1:16" x14ac:dyDescent="0.25">
      <c r="A763" s="3" t="s">
        <v>1630</v>
      </c>
      <c r="B763" s="3" t="s">
        <v>303</v>
      </c>
      <c r="C763" s="3" t="s">
        <v>548</v>
      </c>
      <c r="G763" s="4">
        <v>0.45500000000002039</v>
      </c>
      <c r="H763" s="17">
        <v>7.8540911438142926E-3</v>
      </c>
      <c r="I763" s="17">
        <v>7.8540911438142926E-3</v>
      </c>
      <c r="J763" s="3">
        <v>6.2832729150514343E-3</v>
      </c>
      <c r="K763" s="3">
        <v>9.4249093725771501E-3</v>
      </c>
      <c r="L763" s="3">
        <v>2</v>
      </c>
      <c r="N763" s="5">
        <v>762</v>
      </c>
      <c r="P763" s="17"/>
    </row>
    <row r="764" spans="1:16" x14ac:dyDescent="0.25">
      <c r="A764" s="3" t="s">
        <v>1631</v>
      </c>
      <c r="B764" s="3" t="s">
        <v>555</v>
      </c>
      <c r="C764" s="3" t="s">
        <v>273</v>
      </c>
      <c r="G764" s="4">
        <v>10.80999999999999</v>
      </c>
      <c r="H764" s="17">
        <v>8.4386863826665156E-3</v>
      </c>
      <c r="I764" s="17">
        <v>8.4386863826665156E-3</v>
      </c>
      <c r="J764" s="3">
        <f>I764*0.8</f>
        <v>6.7509491061332125E-3</v>
      </c>
      <c r="K764" s="3">
        <f>I764*1.2</f>
        <v>1.0126423659199819E-2</v>
      </c>
      <c r="L764" s="3">
        <v>2</v>
      </c>
      <c r="N764" s="5">
        <v>763</v>
      </c>
      <c r="P764" s="17"/>
    </row>
    <row r="765" spans="1:16" x14ac:dyDescent="0.25">
      <c r="A765" s="3" t="s">
        <v>1632</v>
      </c>
      <c r="B765" s="3" t="s">
        <v>304</v>
      </c>
      <c r="C765" s="3" t="s">
        <v>561</v>
      </c>
      <c r="G765" s="4">
        <v>31.599999999999991</v>
      </c>
      <c r="H765" s="17">
        <v>7.8391002371149057E-3</v>
      </c>
      <c r="I765" s="17">
        <v>7.8391002371149057E-3</v>
      </c>
      <c r="J765" s="3">
        <v>1.6316722114337597E-6</v>
      </c>
      <c r="K765" s="3">
        <v>2.4475083171506392E-6</v>
      </c>
      <c r="L765" s="3">
        <v>2</v>
      </c>
      <c r="N765" s="5">
        <v>764</v>
      </c>
      <c r="P765" s="17"/>
    </row>
    <row r="766" spans="1:16" x14ac:dyDescent="0.25">
      <c r="A766" s="3" t="s">
        <v>1633</v>
      </c>
      <c r="B766" s="3" t="s">
        <v>478</v>
      </c>
      <c r="C766" s="3" t="s">
        <v>587</v>
      </c>
      <c r="G766" s="4">
        <v>13.16499999999999</v>
      </c>
      <c r="H766" s="17">
        <v>1.70277878534036E-2</v>
      </c>
      <c r="I766" s="17">
        <v>1.70277878534036E-2</v>
      </c>
      <c r="J766" s="3">
        <v>2.7297568051526805E-3</v>
      </c>
      <c r="K766" s="3">
        <v>4.0946352077290199E-3</v>
      </c>
      <c r="L766" s="3">
        <v>2</v>
      </c>
      <c r="N766" s="5">
        <v>765</v>
      </c>
      <c r="P766" s="17"/>
    </row>
    <row r="767" spans="1:16" x14ac:dyDescent="0.25">
      <c r="A767" s="7" t="s">
        <v>1634</v>
      </c>
      <c r="B767" s="7" t="s">
        <v>299</v>
      </c>
      <c r="C767" s="7" t="s">
        <v>258</v>
      </c>
      <c r="D767" s="7"/>
      <c r="E767" s="7"/>
      <c r="F767" s="7"/>
      <c r="G767" s="11">
        <v>44.390000000000008</v>
      </c>
      <c r="H767" s="8">
        <v>25</v>
      </c>
      <c r="I767" s="22">
        <v>1.384642859508634E-2</v>
      </c>
      <c r="J767" s="22">
        <v>1.384642859508634E-2</v>
      </c>
      <c r="K767" s="7">
        <v>1.7999999999999999E-2</v>
      </c>
      <c r="L767" s="7">
        <v>2</v>
      </c>
      <c r="M767" s="7"/>
      <c r="N767" s="8">
        <v>766</v>
      </c>
      <c r="P767" s="17"/>
    </row>
    <row r="768" spans="1:16" x14ac:dyDescent="0.25">
      <c r="A768" s="3" t="s">
        <v>1635</v>
      </c>
      <c r="B768" s="3" t="s">
        <v>480</v>
      </c>
      <c r="C768" s="3" t="s">
        <v>962</v>
      </c>
      <c r="G768" s="4">
        <v>0.1</v>
      </c>
      <c r="H768" s="19">
        <v>2.6379358734814691E-3</v>
      </c>
      <c r="I768" s="19">
        <v>2.6379358734814691E-3</v>
      </c>
      <c r="J768" s="3">
        <v>2.1103486987851753E-3</v>
      </c>
      <c r="K768" s="3">
        <v>3.1655230481777629E-3</v>
      </c>
      <c r="L768" s="3">
        <v>2</v>
      </c>
      <c r="N768" s="5">
        <v>767</v>
      </c>
      <c r="P768" s="17"/>
    </row>
    <row r="769" spans="1:16" x14ac:dyDescent="0.25">
      <c r="A769" s="3" t="s">
        <v>1636</v>
      </c>
      <c r="B769" s="3" t="s">
        <v>258</v>
      </c>
      <c r="C769" s="3" t="s">
        <v>963</v>
      </c>
      <c r="G769" s="4">
        <v>44.190000000000019</v>
      </c>
      <c r="H769" s="17">
        <v>9.4249715871174682E-3</v>
      </c>
      <c r="I769" s="17">
        <v>9.4249715871174682E-3</v>
      </c>
      <c r="J769" s="3">
        <v>3.8433165140505203E-3</v>
      </c>
      <c r="K769" s="3">
        <v>5.7649747710757804E-3</v>
      </c>
      <c r="L769" s="3">
        <v>2</v>
      </c>
      <c r="N769" s="5">
        <v>768</v>
      </c>
      <c r="P769" s="17"/>
    </row>
    <row r="770" spans="1:16" x14ac:dyDescent="0.25">
      <c r="A770" s="3" t="s">
        <v>1637</v>
      </c>
      <c r="B770" s="3" t="s">
        <v>963</v>
      </c>
      <c r="C770" s="3" t="s">
        <v>964</v>
      </c>
      <c r="G770" s="4">
        <v>44.080000000000027</v>
      </c>
      <c r="H770" s="17">
        <v>6.9524271455796089E-3</v>
      </c>
      <c r="I770" s="17">
        <v>6.9524271455796089E-3</v>
      </c>
      <c r="J770" s="3">
        <f>I770*0.8</f>
        <v>5.5619417164636878E-3</v>
      </c>
      <c r="K770" s="3">
        <f>I770*1.2</f>
        <v>8.34291257469553E-3</v>
      </c>
      <c r="L770" s="3">
        <v>2</v>
      </c>
      <c r="N770" s="5">
        <v>769</v>
      </c>
      <c r="P770" s="17"/>
    </row>
    <row r="771" spans="1:16" x14ac:dyDescent="0.25">
      <c r="A771" s="3" t="s">
        <v>1638</v>
      </c>
      <c r="B771" s="3" t="s">
        <v>964</v>
      </c>
      <c r="C771" s="3" t="s">
        <v>874</v>
      </c>
      <c r="G771" s="4">
        <v>43.8675</v>
      </c>
      <c r="H771" s="17">
        <v>7.6642506405005762E-3</v>
      </c>
      <c r="I771" s="17">
        <v>7.6642506405005762E-3</v>
      </c>
      <c r="J771" s="3">
        <f>I771*0.8</f>
        <v>6.131400512400461E-3</v>
      </c>
      <c r="K771" s="3">
        <f>I771*1.2</f>
        <v>9.1971007686006915E-3</v>
      </c>
      <c r="L771" s="3">
        <v>2</v>
      </c>
      <c r="N771" s="5">
        <v>770</v>
      </c>
      <c r="P771" s="17"/>
    </row>
    <row r="772" spans="1:16" x14ac:dyDescent="0.25">
      <c r="A772" s="3" t="s">
        <v>1639</v>
      </c>
      <c r="B772" s="3" t="s">
        <v>627</v>
      </c>
      <c r="C772" s="3" t="s">
        <v>286</v>
      </c>
      <c r="G772" s="4">
        <v>9.6299999999999972</v>
      </c>
      <c r="H772" s="17">
        <v>5.4010084327371227E-3</v>
      </c>
      <c r="I772" s="17">
        <v>5.4010084327371227E-3</v>
      </c>
      <c r="J772" s="3">
        <v>3.3016592920203768E-3</v>
      </c>
      <c r="K772" s="3">
        <v>4.9524889380305644E-3</v>
      </c>
      <c r="L772" s="3">
        <v>2</v>
      </c>
      <c r="N772" s="5">
        <v>771</v>
      </c>
      <c r="P772" s="17"/>
    </row>
    <row r="773" spans="1:16" x14ac:dyDescent="0.25">
      <c r="A773" s="3" t="s">
        <v>1640</v>
      </c>
      <c r="B773" s="3" t="s">
        <v>305</v>
      </c>
      <c r="C773" s="3" t="s">
        <v>652</v>
      </c>
      <c r="G773" s="4">
        <v>0.1</v>
      </c>
      <c r="H773" s="19">
        <v>3.4184191661371559E-3</v>
      </c>
      <c r="I773" s="19">
        <v>3.4184191661371559E-3</v>
      </c>
      <c r="J773" s="3">
        <v>4.3380754067376005E-3</v>
      </c>
      <c r="K773" s="3">
        <v>6.5071131101063998E-3</v>
      </c>
      <c r="L773" s="3">
        <v>2</v>
      </c>
      <c r="N773" s="5">
        <v>772</v>
      </c>
      <c r="P773" s="17"/>
    </row>
    <row r="774" spans="1:16" x14ac:dyDescent="0.25">
      <c r="A774" s="3" t="s">
        <v>1641</v>
      </c>
      <c r="B774" s="3" t="s">
        <v>306</v>
      </c>
      <c r="C774" s="3" t="s">
        <v>965</v>
      </c>
      <c r="G774" s="4">
        <v>3.1600000000000019</v>
      </c>
      <c r="H774" s="17">
        <v>4.1434225116569447E-2</v>
      </c>
      <c r="I774" s="17">
        <v>4.1434225116569447E-2</v>
      </c>
      <c r="J774" s="3">
        <v>6.4569391794008654E-2</v>
      </c>
      <c r="K774" s="3">
        <v>9.6854087691012988E-2</v>
      </c>
      <c r="L774" s="3">
        <v>2</v>
      </c>
      <c r="N774" s="5">
        <v>773</v>
      </c>
      <c r="P774" s="17"/>
    </row>
    <row r="775" spans="1:16" x14ac:dyDescent="0.25">
      <c r="A775" s="3" t="s">
        <v>1642</v>
      </c>
      <c r="B775" s="3" t="s">
        <v>530</v>
      </c>
      <c r="C775" s="3" t="s">
        <v>966</v>
      </c>
      <c r="D775" s="3">
        <v>4.8</v>
      </c>
      <c r="E775" s="3">
        <v>4.8</v>
      </c>
      <c r="F775" s="3">
        <v>4.8</v>
      </c>
      <c r="G775" s="4">
        <v>4.8</v>
      </c>
      <c r="H775" s="17">
        <v>6.7567869002977559E-4</v>
      </c>
      <c r="I775" s="17">
        <v>6.7567869002977559E-4</v>
      </c>
      <c r="J775" s="3">
        <v>2.3396167292124878E-3</v>
      </c>
      <c r="K775" s="3">
        <v>3.5094250938187319E-3</v>
      </c>
      <c r="L775" s="3">
        <v>2</v>
      </c>
      <c r="N775" s="5">
        <v>774</v>
      </c>
      <c r="P775" s="17"/>
    </row>
    <row r="776" spans="1:16" x14ac:dyDescent="0.25">
      <c r="A776" s="3" t="s">
        <v>1643</v>
      </c>
      <c r="B776" s="3" t="s">
        <v>966</v>
      </c>
      <c r="C776" s="3" t="s">
        <v>967</v>
      </c>
      <c r="G776" s="4">
        <v>4.7</v>
      </c>
      <c r="H776" s="17">
        <v>1.397294843614616E-3</v>
      </c>
      <c r="I776" s="17">
        <v>1.397294843614616E-3</v>
      </c>
      <c r="J776" s="3">
        <v>2.7193373502590983E-3</v>
      </c>
      <c r="K776" s="3">
        <v>4.0790060253886474E-3</v>
      </c>
      <c r="L776" s="3">
        <v>2</v>
      </c>
      <c r="N776" s="5">
        <v>775</v>
      </c>
      <c r="P776" s="17"/>
    </row>
    <row r="777" spans="1:16" x14ac:dyDescent="0.25">
      <c r="A777" s="3" t="s">
        <v>1644</v>
      </c>
      <c r="B777" s="3" t="s">
        <v>967</v>
      </c>
      <c r="C777" s="3" t="s">
        <v>968</v>
      </c>
      <c r="G777" s="4">
        <v>4.5999999999999996</v>
      </c>
      <c r="H777" s="17">
        <v>1.6649874284727531E-3</v>
      </c>
      <c r="I777" s="17">
        <v>1.6649874284727531E-3</v>
      </c>
      <c r="J777" s="3">
        <v>6.384304210872856E-3</v>
      </c>
      <c r="K777" s="3">
        <v>9.5764563163092831E-3</v>
      </c>
      <c r="L777" s="3">
        <v>2</v>
      </c>
      <c r="N777" s="5">
        <v>776</v>
      </c>
      <c r="P777" s="17"/>
    </row>
    <row r="778" spans="1:16" x14ac:dyDescent="0.25">
      <c r="A778" s="3" t="s">
        <v>1645</v>
      </c>
      <c r="B778" s="3" t="s">
        <v>958</v>
      </c>
      <c r="C778" s="3" t="s">
        <v>953</v>
      </c>
      <c r="G778" s="4">
        <v>12.244999999999999</v>
      </c>
      <c r="H778" s="17">
        <v>7.0893472652644989E-3</v>
      </c>
      <c r="I778" s="17">
        <v>7.0893472652644989E-3</v>
      </c>
      <c r="J778" s="3">
        <v>3.0407158661528277E-3</v>
      </c>
      <c r="K778" s="3">
        <v>1.4178694530528998E-2</v>
      </c>
      <c r="L778" s="3">
        <v>2</v>
      </c>
      <c r="N778" s="5">
        <v>777</v>
      </c>
      <c r="P778" s="17"/>
    </row>
    <row r="779" spans="1:16" x14ac:dyDescent="0.25">
      <c r="A779" s="3" t="s">
        <v>1646</v>
      </c>
      <c r="B779" s="3" t="s">
        <v>528</v>
      </c>
      <c r="C779" s="3" t="s">
        <v>302</v>
      </c>
      <c r="G779" s="4">
        <v>0.1</v>
      </c>
      <c r="H779" s="17">
        <v>6.2140619142001729E-3</v>
      </c>
      <c r="I779" s="17">
        <v>6.2140619142001729E-3</v>
      </c>
      <c r="J779" s="3">
        <v>3.7463589405439522E-3</v>
      </c>
      <c r="K779" s="3">
        <v>5.6195384108159276E-3</v>
      </c>
      <c r="L779" s="3">
        <v>2</v>
      </c>
      <c r="N779" s="5">
        <v>778</v>
      </c>
      <c r="P779" s="17"/>
    </row>
    <row r="780" spans="1:16" x14ac:dyDescent="0.25">
      <c r="A780" s="3" t="s">
        <v>1647</v>
      </c>
      <c r="B780" s="3" t="s">
        <v>302</v>
      </c>
      <c r="C780" s="3" t="s">
        <v>482</v>
      </c>
      <c r="G780" s="4">
        <v>0.2</v>
      </c>
      <c r="H780" s="17">
        <v>1.6010559598714929E-3</v>
      </c>
      <c r="I780" s="17">
        <v>1.6010559598714929E-3</v>
      </c>
      <c r="J780" s="3">
        <v>8.8979165174044245E-4</v>
      </c>
      <c r="K780" s="3">
        <v>1.3346874776106635E-3</v>
      </c>
      <c r="L780" s="3">
        <v>2</v>
      </c>
      <c r="N780" s="5">
        <v>779</v>
      </c>
      <c r="P780" s="17"/>
    </row>
    <row r="781" spans="1:16" x14ac:dyDescent="0.25">
      <c r="A781" s="3" t="s">
        <v>1648</v>
      </c>
      <c r="B781" s="3" t="s">
        <v>530</v>
      </c>
      <c r="C781" s="3" t="s">
        <v>302</v>
      </c>
      <c r="G781" s="4">
        <v>0.1</v>
      </c>
      <c r="H781" s="17">
        <v>1.206122711415144E-3</v>
      </c>
      <c r="I781" s="17">
        <v>1.206122711415144E-3</v>
      </c>
      <c r="J781" s="3">
        <v>5.1482234334144443E-4</v>
      </c>
      <c r="K781" s="3">
        <v>7.7223351501216669E-4</v>
      </c>
      <c r="L781" s="3">
        <v>2</v>
      </c>
      <c r="N781" s="5">
        <v>780</v>
      </c>
      <c r="P781" s="17"/>
    </row>
    <row r="782" spans="1:16" x14ac:dyDescent="0.25">
      <c r="A782" s="3" t="s">
        <v>1649</v>
      </c>
      <c r="B782" s="3" t="s">
        <v>969</v>
      </c>
      <c r="C782" s="3" t="s">
        <v>970</v>
      </c>
      <c r="G782" s="4">
        <v>35.359999999999992</v>
      </c>
      <c r="H782" s="19">
        <v>5.2641791472140221E-3</v>
      </c>
      <c r="I782" s="19">
        <v>5.2641791472140221E-3</v>
      </c>
      <c r="J782" s="3">
        <v>3.5413144464910224E-3</v>
      </c>
      <c r="K782" s="3">
        <v>5.3119716697365331E-3</v>
      </c>
      <c r="L782" s="3">
        <v>2</v>
      </c>
      <c r="N782" s="5">
        <v>781</v>
      </c>
      <c r="P782" s="17"/>
    </row>
    <row r="783" spans="1:16" x14ac:dyDescent="0.25">
      <c r="A783" s="3" t="s">
        <v>1650</v>
      </c>
      <c r="B783" s="3" t="s">
        <v>969</v>
      </c>
      <c r="C783" s="3" t="s">
        <v>745</v>
      </c>
      <c r="G783" s="4">
        <v>7.79</v>
      </c>
      <c r="H783" s="17">
        <v>3.9967301333661859E-2</v>
      </c>
      <c r="I783" s="17">
        <v>3.9967301333661859E-2</v>
      </c>
      <c r="J783" s="3">
        <v>3.1973841066929486E-2</v>
      </c>
      <c r="K783" s="3">
        <v>4.7960761600394232E-2</v>
      </c>
      <c r="L783" s="3">
        <v>2</v>
      </c>
      <c r="N783" s="5">
        <v>782</v>
      </c>
      <c r="P783" s="17"/>
    </row>
    <row r="784" spans="1:16" x14ac:dyDescent="0.25">
      <c r="A784" s="3" t="s">
        <v>1651</v>
      </c>
      <c r="B784" s="3" t="s">
        <v>968</v>
      </c>
      <c r="C784" s="3" t="s">
        <v>501</v>
      </c>
      <c r="G784" s="4">
        <v>4.3350000000000186</v>
      </c>
      <c r="H784" s="19">
        <v>2.164961985255261E-3</v>
      </c>
      <c r="I784" s="19">
        <v>2.164961985255261E-3</v>
      </c>
      <c r="J784" s="3">
        <v>8.8492124291193758E-3</v>
      </c>
      <c r="K784" s="3">
        <v>1.3273818643679063E-2</v>
      </c>
      <c r="L784" s="3">
        <v>2</v>
      </c>
      <c r="N784" s="5">
        <v>783</v>
      </c>
      <c r="P784" s="17"/>
    </row>
    <row r="785" spans="1:16" x14ac:dyDescent="0.25">
      <c r="A785" s="3" t="s">
        <v>1652</v>
      </c>
      <c r="B785" s="3" t="s">
        <v>966</v>
      </c>
      <c r="C785" s="3" t="s">
        <v>482</v>
      </c>
      <c r="G785" s="4">
        <v>0.1</v>
      </c>
      <c r="H785" s="17">
        <v>1.3393472606523279E-3</v>
      </c>
      <c r="I785" s="17">
        <v>1.3393472606523279E-3</v>
      </c>
      <c r="J785" s="3">
        <v>6.6967363032616395E-4</v>
      </c>
      <c r="K785" s="3">
        <v>2.6786945213046558E-3</v>
      </c>
      <c r="L785" s="3">
        <v>2</v>
      </c>
      <c r="N785" s="5">
        <v>784</v>
      </c>
      <c r="P785" s="17"/>
    </row>
    <row r="786" spans="1:16" x14ac:dyDescent="0.25">
      <c r="A786" s="3" t="s">
        <v>1653</v>
      </c>
      <c r="B786" s="3" t="s">
        <v>483</v>
      </c>
      <c r="C786" s="3" t="s">
        <v>484</v>
      </c>
      <c r="G786" s="4">
        <v>0.4</v>
      </c>
      <c r="H786" s="17">
        <v>3.6682369596610451E-3</v>
      </c>
      <c r="I786" s="17">
        <v>3.6682369596610451E-3</v>
      </c>
      <c r="J786" s="3">
        <v>1.6902190734215056E-3</v>
      </c>
      <c r="K786" s="3">
        <v>2.535328610132258E-3</v>
      </c>
      <c r="L786" s="3">
        <v>2</v>
      </c>
      <c r="N786" s="5">
        <v>785</v>
      </c>
      <c r="P786" s="17"/>
    </row>
    <row r="787" spans="1:16" x14ac:dyDescent="0.25">
      <c r="A787" s="3" t="s">
        <v>1654</v>
      </c>
      <c r="B787" s="3" t="s">
        <v>967</v>
      </c>
      <c r="C787" s="3" t="s">
        <v>483</v>
      </c>
      <c r="G787" s="4">
        <v>0.1</v>
      </c>
      <c r="H787" s="17">
        <v>1.71427955246479E-3</v>
      </c>
      <c r="I787" s="17">
        <v>1.71427955246479E-3</v>
      </c>
      <c r="J787" s="3">
        <v>1.3714236419718321E-3</v>
      </c>
      <c r="K787" s="3">
        <v>2.057135462957748E-3</v>
      </c>
      <c r="L787" s="3">
        <v>2</v>
      </c>
      <c r="N787" s="5">
        <v>786</v>
      </c>
      <c r="P787" s="17"/>
    </row>
    <row r="788" spans="1:16" x14ac:dyDescent="0.25">
      <c r="A788" s="3" t="s">
        <v>1655</v>
      </c>
      <c r="B788" s="3" t="s">
        <v>968</v>
      </c>
      <c r="C788" s="3" t="s">
        <v>484</v>
      </c>
      <c r="G788" s="4">
        <v>0.26499999999998092</v>
      </c>
      <c r="H788" s="17">
        <v>1.8685448459799419E-3</v>
      </c>
      <c r="I788" s="17">
        <v>1.8685448459799419E-3</v>
      </c>
      <c r="J788" s="3">
        <v>2.1805500781077593E-3</v>
      </c>
      <c r="K788" s="3">
        <v>3.2708251171616391E-3</v>
      </c>
      <c r="L788" s="3">
        <v>2</v>
      </c>
      <c r="N788" s="5">
        <v>787</v>
      </c>
      <c r="P788" s="17"/>
    </row>
    <row r="789" spans="1:16" x14ac:dyDescent="0.25">
      <c r="A789" s="3" t="s">
        <v>1656</v>
      </c>
      <c r="B789" s="3" t="s">
        <v>485</v>
      </c>
      <c r="C789" s="3" t="s">
        <v>543</v>
      </c>
      <c r="G789" s="4">
        <v>0.76499999999998092</v>
      </c>
      <c r="H789" s="19">
        <v>1.388007441980013E-3</v>
      </c>
      <c r="I789" s="19">
        <v>1.388007441980013E-3</v>
      </c>
      <c r="J789" s="3">
        <v>1.1104059535840104E-3</v>
      </c>
      <c r="K789" s="3">
        <v>1.6656089303760157E-3</v>
      </c>
      <c r="L789" s="3">
        <v>2</v>
      </c>
      <c r="N789" s="5">
        <v>788</v>
      </c>
      <c r="P789" s="17"/>
    </row>
    <row r="790" spans="1:16" x14ac:dyDescent="0.25">
      <c r="A790" s="3" t="s">
        <v>1657</v>
      </c>
      <c r="B790" s="3" t="s">
        <v>486</v>
      </c>
      <c r="C790" s="3" t="s">
        <v>547</v>
      </c>
      <c r="G790" s="4">
        <v>0.1</v>
      </c>
      <c r="H790" s="17">
        <v>1.3603604080575659E-3</v>
      </c>
      <c r="I790" s="17">
        <v>1.3603604080575659E-3</v>
      </c>
      <c r="J790" s="3">
        <v>1.0882883264460529E-3</v>
      </c>
      <c r="K790" s="3">
        <v>1.632432489669079E-3</v>
      </c>
      <c r="L790" s="3">
        <v>2</v>
      </c>
      <c r="N790" s="5">
        <v>789</v>
      </c>
      <c r="P790" s="17"/>
    </row>
    <row r="791" spans="1:16" x14ac:dyDescent="0.25">
      <c r="A791" s="3" t="s">
        <v>1658</v>
      </c>
      <c r="B791" s="3" t="s">
        <v>487</v>
      </c>
      <c r="C791" s="3" t="s">
        <v>486</v>
      </c>
      <c r="G791" s="4">
        <v>0.2</v>
      </c>
      <c r="H791" s="17">
        <v>1.856132147407299E-3</v>
      </c>
      <c r="I791" s="17">
        <v>1.856132147407299E-3</v>
      </c>
      <c r="J791" s="3">
        <v>1.4849057179258393E-3</v>
      </c>
      <c r="K791" s="3">
        <v>2.2273585768887586E-3</v>
      </c>
      <c r="L791" s="3">
        <v>2</v>
      </c>
      <c r="N791" s="5">
        <v>790</v>
      </c>
      <c r="P791" s="17"/>
    </row>
    <row r="792" spans="1:16" x14ac:dyDescent="0.25">
      <c r="A792" s="3" t="s">
        <v>1659</v>
      </c>
      <c r="B792" s="3" t="s">
        <v>554</v>
      </c>
      <c r="C792" s="3" t="s">
        <v>487</v>
      </c>
      <c r="G792" s="4">
        <v>5.2599999999999989</v>
      </c>
      <c r="H792" s="17">
        <v>1.1084430959447181E-3</v>
      </c>
      <c r="I792" s="17">
        <v>1.1084430959447181E-3</v>
      </c>
      <c r="J792" s="3">
        <v>4.4339864483428602E-4</v>
      </c>
      <c r="K792" s="3">
        <v>6.6509796725142904E-4</v>
      </c>
      <c r="L792" s="3">
        <v>2</v>
      </c>
      <c r="N792" s="5">
        <v>791</v>
      </c>
      <c r="P792" s="17"/>
    </row>
    <row r="793" spans="1:16" x14ac:dyDescent="0.25">
      <c r="A793" s="3" t="s">
        <v>1660</v>
      </c>
      <c r="B793" s="3" t="s">
        <v>559</v>
      </c>
      <c r="C793" s="3" t="s">
        <v>489</v>
      </c>
      <c r="G793" s="4">
        <v>4.1999999999999993</v>
      </c>
      <c r="H793" s="17">
        <v>1.2607277445993901E-3</v>
      </c>
      <c r="I793" s="17">
        <v>1.2607277445993901E-3</v>
      </c>
      <c r="J793" s="3">
        <v>5.8266282440692799E-3</v>
      </c>
      <c r="K793" s="3">
        <v>8.7399423661039186E-3</v>
      </c>
      <c r="L793" s="3">
        <v>2</v>
      </c>
      <c r="N793" s="5">
        <v>792</v>
      </c>
      <c r="P793" s="17"/>
    </row>
    <row r="794" spans="1:16" x14ac:dyDescent="0.25">
      <c r="A794" s="3" t="s">
        <v>1661</v>
      </c>
      <c r="B794" s="3" t="s">
        <v>490</v>
      </c>
      <c r="C794" s="3" t="s">
        <v>971</v>
      </c>
      <c r="D794" s="3">
        <v>13.37</v>
      </c>
      <c r="E794" s="3">
        <v>13.37</v>
      </c>
      <c r="F794" s="3">
        <v>13.37</v>
      </c>
      <c r="G794" s="4">
        <v>13.37</v>
      </c>
      <c r="H794" s="17">
        <v>8.6544244071995804E-4</v>
      </c>
      <c r="I794" s="17">
        <v>8.6544244071995804E-4</v>
      </c>
      <c r="J794" s="3">
        <f>I794*0.8</f>
        <v>6.923539525759665E-4</v>
      </c>
      <c r="K794" s="3">
        <f>I794*1.2</f>
        <v>1.0385309288639497E-3</v>
      </c>
      <c r="L794" s="3">
        <v>2</v>
      </c>
      <c r="N794" s="5">
        <v>793</v>
      </c>
      <c r="P794" s="17"/>
    </row>
    <row r="795" spans="1:16" x14ac:dyDescent="0.25">
      <c r="A795" s="3" t="s">
        <v>1662</v>
      </c>
      <c r="B795" s="3" t="s">
        <v>971</v>
      </c>
      <c r="C795" s="3" t="s">
        <v>491</v>
      </c>
      <c r="D795" s="3">
        <v>21.97</v>
      </c>
      <c r="E795" s="3">
        <v>21.97</v>
      </c>
      <c r="F795" s="3">
        <v>21.97</v>
      </c>
      <c r="G795" s="4">
        <v>21.97</v>
      </c>
      <c r="H795" s="17">
        <v>2.0972166680347632E-3</v>
      </c>
      <c r="I795" s="17">
        <v>2.0972166680347632E-3</v>
      </c>
      <c r="J795" s="3">
        <v>8.5046647610347449E-4</v>
      </c>
      <c r="K795" s="3">
        <v>1.2756997141552117E-3</v>
      </c>
      <c r="L795" s="3">
        <v>2</v>
      </c>
      <c r="N795" s="5">
        <v>794</v>
      </c>
      <c r="P795" s="17"/>
    </row>
    <row r="796" spans="1:16" x14ac:dyDescent="0.25">
      <c r="A796" s="3" t="s">
        <v>1663</v>
      </c>
      <c r="B796" s="3" t="s">
        <v>568</v>
      </c>
      <c r="C796" s="3" t="s">
        <v>971</v>
      </c>
      <c r="G796" s="4">
        <v>8.6</v>
      </c>
      <c r="H796" s="17">
        <v>1.248849465478511E-3</v>
      </c>
      <c r="I796" s="17">
        <v>1.248849465478511E-3</v>
      </c>
      <c r="J796" s="3">
        <v>7.8414227567822278E-3</v>
      </c>
      <c r="K796" s="3">
        <v>1.1762134135173342E-2</v>
      </c>
      <c r="L796" s="3">
        <v>2</v>
      </c>
      <c r="N796" s="5">
        <v>795</v>
      </c>
      <c r="P796" s="17"/>
    </row>
    <row r="797" spans="1:16" x14ac:dyDescent="0.25">
      <c r="A797" s="3" t="s">
        <v>1664</v>
      </c>
      <c r="B797" s="3" t="s">
        <v>571</v>
      </c>
      <c r="C797" s="3" t="s">
        <v>491</v>
      </c>
      <c r="G797" s="4">
        <v>12.9</v>
      </c>
      <c r="H797" s="17">
        <v>1.260777386280767E-3</v>
      </c>
      <c r="I797" s="17">
        <v>1.260777386280767E-3</v>
      </c>
      <c r="J797" s="3">
        <v>5.1025790508966084E-4</v>
      </c>
      <c r="K797" s="3">
        <v>7.6538685763449126E-4</v>
      </c>
      <c r="L797" s="3">
        <v>2</v>
      </c>
      <c r="N797" s="5">
        <v>796</v>
      </c>
      <c r="P797" s="17"/>
    </row>
    <row r="798" spans="1:16" x14ac:dyDescent="0.25">
      <c r="A798" s="3" t="s">
        <v>1665</v>
      </c>
      <c r="B798" s="3" t="s">
        <v>577</v>
      </c>
      <c r="C798" s="3" t="s">
        <v>492</v>
      </c>
      <c r="G798" s="4">
        <v>13.09</v>
      </c>
      <c r="H798" s="17">
        <v>1.2904407042542961E-3</v>
      </c>
      <c r="I798" s="17">
        <v>1.2904407042542961E-3</v>
      </c>
      <c r="J798" s="3">
        <v>8.5471800997917533E-4</v>
      </c>
      <c r="K798" s="3">
        <v>1.2820770149687629E-3</v>
      </c>
      <c r="L798" s="3">
        <v>2</v>
      </c>
      <c r="N798" s="5">
        <v>797</v>
      </c>
      <c r="P798" s="17"/>
    </row>
    <row r="799" spans="1:16" x14ac:dyDescent="0.25">
      <c r="A799" s="3" t="s">
        <v>1666</v>
      </c>
      <c r="B799" s="3" t="s">
        <v>582</v>
      </c>
      <c r="C799" s="3" t="s">
        <v>493</v>
      </c>
      <c r="G799" s="4">
        <v>12.11</v>
      </c>
      <c r="H799" s="17">
        <v>1.613568831159844E-3</v>
      </c>
      <c r="I799" s="17">
        <v>1.613568831159844E-3</v>
      </c>
      <c r="J799" s="3">
        <v>1.1626567201212161E-3</v>
      </c>
      <c r="K799" s="3">
        <v>1.7439850801818241E-3</v>
      </c>
      <c r="L799" s="3">
        <v>2</v>
      </c>
      <c r="N799" s="5">
        <v>798</v>
      </c>
      <c r="P799" s="17"/>
    </row>
    <row r="800" spans="1:16" x14ac:dyDescent="0.25">
      <c r="A800" s="3" t="s">
        <v>1667</v>
      </c>
      <c r="B800" s="3" t="s">
        <v>495</v>
      </c>
      <c r="C800" s="3" t="s">
        <v>497</v>
      </c>
      <c r="D800" s="3">
        <v>87.13</v>
      </c>
      <c r="E800" s="3">
        <v>87.13</v>
      </c>
      <c r="F800" s="3">
        <v>87.13</v>
      </c>
      <c r="G800" s="4">
        <v>87.13</v>
      </c>
      <c r="H800" s="17">
        <v>2.51302024653338E-3</v>
      </c>
      <c r="I800" s="17">
        <v>2.51302024653338E-3</v>
      </c>
      <c r="J800" s="3">
        <v>1.0126097166397927E-3</v>
      </c>
      <c r="K800" s="3">
        <v>1.5189145749596891E-3</v>
      </c>
      <c r="L800" s="3">
        <v>2</v>
      </c>
      <c r="N800" s="5">
        <v>799</v>
      </c>
      <c r="P800" s="17"/>
    </row>
    <row r="801" spans="1:16" x14ac:dyDescent="0.25">
      <c r="A801" s="3" t="s">
        <v>1668</v>
      </c>
      <c r="B801" s="3" t="s">
        <v>497</v>
      </c>
      <c r="C801" s="3" t="s">
        <v>943</v>
      </c>
      <c r="D801" s="3">
        <v>150.16999999999999</v>
      </c>
      <c r="E801" s="3">
        <v>150.16999999999999</v>
      </c>
      <c r="F801" s="3">
        <v>150.16999999999999</v>
      </c>
      <c r="G801" s="4">
        <v>150.16999999999999</v>
      </c>
      <c r="H801" s="17">
        <v>1.801232646639795E-2</v>
      </c>
      <c r="I801" s="17">
        <v>1.801232646639795E-2</v>
      </c>
      <c r="J801" s="3">
        <v>7.2437348991233885E-3</v>
      </c>
      <c r="K801" s="3">
        <v>1.0865602348685083E-2</v>
      </c>
      <c r="L801" s="3">
        <v>2</v>
      </c>
      <c r="N801" s="5">
        <v>800</v>
      </c>
      <c r="P801" s="17"/>
    </row>
    <row r="802" spans="1:16" x14ac:dyDescent="0.25">
      <c r="A802" s="3" t="s">
        <v>1669</v>
      </c>
      <c r="B802" s="3" t="s">
        <v>587</v>
      </c>
      <c r="C802" s="3" t="s">
        <v>498</v>
      </c>
      <c r="G802" s="4">
        <v>18.855</v>
      </c>
      <c r="H802" s="17">
        <v>4.3002814158974827E-3</v>
      </c>
      <c r="I802" s="17">
        <v>4.3002814158974827E-3</v>
      </c>
      <c r="J802" s="3">
        <v>9.9184284584163118E-3</v>
      </c>
      <c r="K802" s="3">
        <v>1.4877642687624468E-2</v>
      </c>
      <c r="L802" s="3">
        <v>2</v>
      </c>
      <c r="N802" s="5">
        <v>801</v>
      </c>
      <c r="P802" s="17"/>
    </row>
    <row r="803" spans="1:16" x14ac:dyDescent="0.25">
      <c r="A803" s="3" t="s">
        <v>1670</v>
      </c>
      <c r="B803" s="3" t="s">
        <v>749</v>
      </c>
      <c r="C803" s="3" t="s">
        <v>498</v>
      </c>
      <c r="D803" s="3">
        <v>19.265000000000001</v>
      </c>
      <c r="E803" s="3">
        <v>19.265000000000001</v>
      </c>
      <c r="F803" s="3">
        <v>19.265000000000001</v>
      </c>
      <c r="G803" s="4">
        <v>19.265000000000001</v>
      </c>
      <c r="H803" s="17">
        <v>2.231719323702476E-2</v>
      </c>
      <c r="I803" s="17">
        <v>2.231719323702476E-2</v>
      </c>
      <c r="J803" s="3">
        <v>2.0920889107679955E-3</v>
      </c>
      <c r="K803" s="3">
        <v>3.1381333661519928E-3</v>
      </c>
      <c r="L803" s="3">
        <v>2</v>
      </c>
      <c r="N803" s="5">
        <v>802</v>
      </c>
      <c r="P803" s="17"/>
    </row>
    <row r="804" spans="1:16" x14ac:dyDescent="0.25">
      <c r="A804" s="3" t="s">
        <v>1671</v>
      </c>
      <c r="B804" s="3" t="s">
        <v>943</v>
      </c>
      <c r="C804" s="3" t="s">
        <v>873</v>
      </c>
      <c r="G804" s="4">
        <v>282.57</v>
      </c>
      <c r="H804" s="17">
        <v>3.7923303407419269E-3</v>
      </c>
      <c r="I804" s="17">
        <v>3.7923303407419269E-3</v>
      </c>
      <c r="J804" s="3">
        <v>1.812612216967548E-3</v>
      </c>
      <c r="K804" s="3">
        <v>2.718918325451322E-3</v>
      </c>
      <c r="L804" s="3">
        <v>2</v>
      </c>
      <c r="N804" s="5">
        <v>803</v>
      </c>
      <c r="P804" s="17"/>
    </row>
    <row r="805" spans="1:16" x14ac:dyDescent="0.25">
      <c r="A805" s="3" t="s">
        <v>1672</v>
      </c>
      <c r="B805" s="3" t="s">
        <v>972</v>
      </c>
      <c r="C805" s="3" t="s">
        <v>499</v>
      </c>
      <c r="G805" s="4">
        <v>18.14</v>
      </c>
      <c r="H805" s="17">
        <v>3.8104279693033441E-2</v>
      </c>
      <c r="I805" s="17">
        <v>3.8104279693033441E-2</v>
      </c>
      <c r="J805" s="3">
        <v>3.0483423754426753E-2</v>
      </c>
      <c r="K805" s="3">
        <v>4.5725135631640129E-2</v>
      </c>
      <c r="L805" s="3">
        <v>2</v>
      </c>
      <c r="N805" s="5">
        <v>804</v>
      </c>
      <c r="P805" s="17"/>
    </row>
    <row r="806" spans="1:16" x14ac:dyDescent="0.25">
      <c r="A806" s="3" t="s">
        <v>1673</v>
      </c>
      <c r="B806" s="3" t="s">
        <v>500</v>
      </c>
      <c r="C806" s="3" t="s">
        <v>973</v>
      </c>
      <c r="D806" s="3">
        <v>28.43</v>
      </c>
      <c r="E806" s="3">
        <v>28.43</v>
      </c>
      <c r="F806" s="3">
        <v>28.43</v>
      </c>
      <c r="G806" s="4">
        <v>28.43</v>
      </c>
      <c r="H806" s="17">
        <v>1.3656970198981421E-2</v>
      </c>
      <c r="I806" s="17">
        <v>1.3656970198981421E-2</v>
      </c>
      <c r="J806" s="3">
        <v>2.0205287993185449E-2</v>
      </c>
      <c r="K806" s="3">
        <v>3.0307931989778169E-2</v>
      </c>
      <c r="L806" s="3">
        <v>2</v>
      </c>
      <c r="N806" s="5">
        <v>805</v>
      </c>
      <c r="P806" s="17"/>
    </row>
    <row r="807" spans="1:16" x14ac:dyDescent="0.25">
      <c r="A807" s="3" t="s">
        <v>1674</v>
      </c>
      <c r="B807" s="3" t="s">
        <v>973</v>
      </c>
      <c r="C807" s="3" t="s">
        <v>503</v>
      </c>
      <c r="G807" s="4">
        <v>28.53</v>
      </c>
      <c r="H807" s="17">
        <v>3.4866245623601968E-3</v>
      </c>
      <c r="I807" s="17">
        <v>3.4866245623601968E-3</v>
      </c>
      <c r="J807" s="3">
        <v>4.9665911243376012E-3</v>
      </c>
      <c r="K807" s="3">
        <v>7.4498866865064005E-3</v>
      </c>
      <c r="L807" s="3">
        <v>2</v>
      </c>
      <c r="N807" s="5">
        <v>806</v>
      </c>
      <c r="P807" s="17"/>
    </row>
    <row r="808" spans="1:16" x14ac:dyDescent="0.25">
      <c r="A808" s="3" t="s">
        <v>1675</v>
      </c>
      <c r="B808" s="3" t="s">
        <v>974</v>
      </c>
      <c r="C808" s="3" t="s">
        <v>973</v>
      </c>
      <c r="G808" s="4">
        <v>0.1</v>
      </c>
      <c r="H808" s="17">
        <v>2.6964241135887012E-3</v>
      </c>
      <c r="I808" s="17">
        <v>2.6964241135887012E-3</v>
      </c>
      <c r="J808" s="3">
        <v>1.3482120567943506E-3</v>
      </c>
      <c r="K808" s="3">
        <v>5.3928482271774023E-3</v>
      </c>
      <c r="L808" s="3">
        <v>2</v>
      </c>
      <c r="N808" s="5">
        <v>807</v>
      </c>
      <c r="P808" s="17"/>
    </row>
    <row r="809" spans="1:16" x14ac:dyDescent="0.25">
      <c r="A809" s="3" t="s">
        <v>1676</v>
      </c>
      <c r="B809" s="3" t="s">
        <v>600</v>
      </c>
      <c r="C809" s="3" t="s">
        <v>503</v>
      </c>
      <c r="G809" s="4">
        <v>0.1</v>
      </c>
      <c r="H809" s="17">
        <v>1.2579259220375401E-3</v>
      </c>
      <c r="I809" s="17">
        <v>1.2579259220375401E-3</v>
      </c>
      <c r="J809" s="3">
        <v>1.006340737630032E-3</v>
      </c>
      <c r="K809" s="3">
        <v>1.5095111064450481E-3</v>
      </c>
      <c r="L809" s="3">
        <v>2</v>
      </c>
      <c r="N809" s="5">
        <v>808</v>
      </c>
      <c r="P809" s="17"/>
    </row>
    <row r="810" spans="1:16" x14ac:dyDescent="0.25">
      <c r="A810" s="3" t="s">
        <v>1677</v>
      </c>
      <c r="B810" s="3" t="s">
        <v>605</v>
      </c>
      <c r="C810" s="3" t="s">
        <v>504</v>
      </c>
      <c r="G810" s="4">
        <v>0.1</v>
      </c>
      <c r="H810" s="17">
        <v>1.1811884948288839E-3</v>
      </c>
      <c r="I810" s="17">
        <v>1.1811884948288839E-3</v>
      </c>
      <c r="J810" s="3">
        <v>9.4495079586310714E-4</v>
      </c>
      <c r="K810" s="3">
        <v>1.4174261937946607E-3</v>
      </c>
      <c r="L810" s="3">
        <v>2</v>
      </c>
      <c r="N810" s="5">
        <v>809</v>
      </c>
      <c r="P810" s="17"/>
    </row>
    <row r="811" spans="1:16" x14ac:dyDescent="0.25">
      <c r="A811" s="3" t="s">
        <v>1678</v>
      </c>
      <c r="B811" s="3" t="s">
        <v>505</v>
      </c>
      <c r="C811" s="3" t="s">
        <v>506</v>
      </c>
      <c r="G811" s="4">
        <v>28.83</v>
      </c>
      <c r="H811" s="17">
        <v>1.0445901708098549E-3</v>
      </c>
      <c r="I811" s="17">
        <v>1.0445901708098549E-3</v>
      </c>
      <c r="J811" s="3">
        <v>1.0120227788824928E-3</v>
      </c>
      <c r="K811" s="3">
        <v>1.5180341683237392E-3</v>
      </c>
      <c r="L811" s="3">
        <v>2</v>
      </c>
      <c r="N811" s="5">
        <v>810</v>
      </c>
      <c r="P811" s="17"/>
    </row>
    <row r="812" spans="1:16" x14ac:dyDescent="0.25">
      <c r="A812" s="3" t="s">
        <v>1679</v>
      </c>
      <c r="B812" s="3" t="s">
        <v>610</v>
      </c>
      <c r="C812" s="3" t="s">
        <v>505</v>
      </c>
      <c r="G812" s="4">
        <v>0.1</v>
      </c>
      <c r="H812" s="17">
        <v>1.4054300057125941E-3</v>
      </c>
      <c r="I812" s="17">
        <v>1.4054300057125941E-3</v>
      </c>
      <c r="J812" s="3">
        <v>1.1243440045700752E-3</v>
      </c>
      <c r="K812" s="3">
        <v>1.6865160068551129E-3</v>
      </c>
      <c r="L812" s="3">
        <v>2</v>
      </c>
      <c r="N812" s="5">
        <v>811</v>
      </c>
      <c r="P812" s="17"/>
    </row>
    <row r="813" spans="1:16" x14ac:dyDescent="0.25">
      <c r="A813" s="3" t="s">
        <v>1680</v>
      </c>
      <c r="B813" s="3" t="s">
        <v>614</v>
      </c>
      <c r="C813" s="3" t="s">
        <v>507</v>
      </c>
      <c r="G813" s="4">
        <v>8.6399999999999988</v>
      </c>
      <c r="H813" s="17">
        <v>1.2760227734968509E-3</v>
      </c>
      <c r="I813" s="17">
        <v>1.2760227734968509E-3</v>
      </c>
      <c r="J813" s="3">
        <v>1.0208182187974807E-3</v>
      </c>
      <c r="K813" s="3">
        <v>1.5312273281962211E-3</v>
      </c>
      <c r="L813" s="3">
        <v>2</v>
      </c>
      <c r="N813" s="5">
        <v>812</v>
      </c>
      <c r="P813" s="17"/>
    </row>
    <row r="814" spans="1:16" x14ac:dyDescent="0.25">
      <c r="A814" s="34" t="s">
        <v>1681</v>
      </c>
      <c r="B814" s="34" t="s">
        <v>620</v>
      </c>
      <c r="C814" s="34" t="s">
        <v>508</v>
      </c>
      <c r="D814" s="34"/>
      <c r="E814" s="34"/>
      <c r="F814" s="7">
        <v>6.08</v>
      </c>
      <c r="G814" s="35">
        <v>0.1</v>
      </c>
      <c r="H814" s="36">
        <v>1.1679185119537669E-3</v>
      </c>
      <c r="I814" s="36">
        <v>1.1679185119537669E-3</v>
      </c>
      <c r="J814" s="34">
        <v>8.2780122088658246</v>
      </c>
      <c r="K814" s="34">
        <v>12.417018313298737</v>
      </c>
      <c r="L814" s="34">
        <v>2</v>
      </c>
      <c r="M814" s="34" t="s">
        <v>2098</v>
      </c>
      <c r="N814" s="37">
        <v>813</v>
      </c>
      <c r="P814" s="17"/>
    </row>
    <row r="815" spans="1:16" x14ac:dyDescent="0.25">
      <c r="A815" s="34" t="s">
        <v>1682</v>
      </c>
      <c r="B815" s="34" t="s">
        <v>625</v>
      </c>
      <c r="C815" s="34" t="s">
        <v>509</v>
      </c>
      <c r="D815" s="34"/>
      <c r="E815" s="34"/>
      <c r="F815" s="7">
        <v>4.93</v>
      </c>
      <c r="G815" s="35">
        <v>2.7499999999999991</v>
      </c>
      <c r="H815" s="36">
        <v>1.1783751643087001E-3</v>
      </c>
      <c r="I815" s="36">
        <v>1.1783751643087001E-3</v>
      </c>
      <c r="J815" s="34">
        <v>0.54578047636963067</v>
      </c>
      <c r="K815" s="34">
        <v>0.81867071455444596</v>
      </c>
      <c r="L815" s="34">
        <v>2</v>
      </c>
      <c r="M815" s="34" t="s">
        <v>2098</v>
      </c>
      <c r="N815" s="37">
        <v>814</v>
      </c>
      <c r="P815" s="17"/>
    </row>
    <row r="816" spans="1:16" x14ac:dyDescent="0.25">
      <c r="A816" s="3" t="s">
        <v>1683</v>
      </c>
      <c r="B816" s="3" t="s">
        <v>630</v>
      </c>
      <c r="C816" s="3" t="s">
        <v>510</v>
      </c>
      <c r="G816" s="4">
        <v>0.1</v>
      </c>
      <c r="H816" s="17">
        <v>1.1530188438703139E-3</v>
      </c>
      <c r="I816" s="17">
        <v>1.1530188438703139E-3</v>
      </c>
      <c r="J816" s="3">
        <v>9.2241507509625115E-4</v>
      </c>
      <c r="K816" s="3">
        <v>1.3836226126443766E-3</v>
      </c>
      <c r="L816" s="3">
        <v>2</v>
      </c>
      <c r="N816" s="5">
        <v>815</v>
      </c>
      <c r="P816" s="17"/>
    </row>
    <row r="817" spans="1:16" x14ac:dyDescent="0.25">
      <c r="A817" s="3" t="s">
        <v>1684</v>
      </c>
      <c r="B817" s="3" t="s">
        <v>511</v>
      </c>
      <c r="C817" s="3" t="s">
        <v>975</v>
      </c>
      <c r="D817" s="3">
        <v>64.599999999999994</v>
      </c>
      <c r="E817" s="3">
        <v>64.599999999999994</v>
      </c>
      <c r="F817" s="3">
        <v>64.599999999999994</v>
      </c>
      <c r="G817" s="4">
        <v>64.599999999999994</v>
      </c>
      <c r="H817" s="17">
        <v>2.1429978177840521E-3</v>
      </c>
      <c r="I817" s="17">
        <v>2.1429978177840521E-3</v>
      </c>
      <c r="J817" s="3">
        <v>7.7951426021699468E-4</v>
      </c>
      <c r="K817" s="3">
        <v>1.1692713903254919E-3</v>
      </c>
      <c r="L817" s="3">
        <v>2</v>
      </c>
      <c r="N817" s="5">
        <v>816</v>
      </c>
      <c r="P817" s="17"/>
    </row>
    <row r="818" spans="1:16" x14ac:dyDescent="0.25">
      <c r="A818" s="3" t="s">
        <v>1685</v>
      </c>
      <c r="B818" s="3" t="s">
        <v>638</v>
      </c>
      <c r="C818" s="3" t="s">
        <v>511</v>
      </c>
      <c r="G818" s="4">
        <v>9.0399999999999903</v>
      </c>
      <c r="H818" s="17">
        <v>1.3936270081665711E-3</v>
      </c>
      <c r="I818" s="17">
        <v>1.3936270081665711E-3</v>
      </c>
      <c r="J818" s="3">
        <f>I818*0.1</f>
        <v>1.3936270081665712E-4</v>
      </c>
      <c r="K818" s="3">
        <f>I818*10</f>
        <v>1.3936270081665711E-2</v>
      </c>
      <c r="L818" s="3">
        <v>2</v>
      </c>
      <c r="N818" s="5">
        <v>817</v>
      </c>
      <c r="P818" s="17"/>
    </row>
    <row r="819" spans="1:16" x14ac:dyDescent="0.25">
      <c r="A819" s="3" t="s">
        <v>1686</v>
      </c>
      <c r="B819" s="3" t="s">
        <v>975</v>
      </c>
      <c r="C819" s="3" t="s">
        <v>512</v>
      </c>
      <c r="G819" s="4">
        <v>65.864999999999938</v>
      </c>
      <c r="H819" s="17">
        <v>1.1307739898498599E-3</v>
      </c>
      <c r="I819" s="17">
        <v>1.1307739898498599E-3</v>
      </c>
      <c r="J819" s="3">
        <v>1.4234985790717897E-3</v>
      </c>
      <c r="K819" s="3">
        <v>2.1352478686076843E-3</v>
      </c>
      <c r="L819" s="3">
        <v>2</v>
      </c>
      <c r="N819" s="5">
        <v>818</v>
      </c>
      <c r="P819" s="17"/>
    </row>
    <row r="820" spans="1:16" x14ac:dyDescent="0.25">
      <c r="A820" s="3" t="s">
        <v>1687</v>
      </c>
      <c r="B820" s="3" t="s">
        <v>645</v>
      </c>
      <c r="C820" s="3" t="s">
        <v>975</v>
      </c>
      <c r="G820" s="4">
        <v>1.264999999999975</v>
      </c>
      <c r="H820" s="17">
        <v>1.41234409756386E-3</v>
      </c>
      <c r="I820" s="17">
        <v>1.41234409756386E-3</v>
      </c>
      <c r="J820" s="3">
        <v>1.129875278051088E-3</v>
      </c>
      <c r="K820" s="3">
        <v>1.6948129170766321E-3</v>
      </c>
      <c r="L820" s="3">
        <v>2</v>
      </c>
      <c r="N820" s="5">
        <v>819</v>
      </c>
      <c r="P820" s="17"/>
    </row>
    <row r="821" spans="1:16" x14ac:dyDescent="0.25">
      <c r="A821" s="3" t="s">
        <v>1688</v>
      </c>
      <c r="B821" s="3" t="s">
        <v>646</v>
      </c>
      <c r="C821" s="3" t="s">
        <v>513</v>
      </c>
      <c r="G821" s="4">
        <v>10.320000000000009</v>
      </c>
      <c r="H821" s="17">
        <v>1.845130134462635E-3</v>
      </c>
      <c r="I821" s="17">
        <v>1.845130134462635E-3</v>
      </c>
      <c r="J821" s="3">
        <v>1.3445270904859162E-3</v>
      </c>
      <c r="K821" s="3">
        <v>2.0167906357288741E-3</v>
      </c>
      <c r="L821" s="3">
        <v>2</v>
      </c>
      <c r="N821" s="5">
        <v>820</v>
      </c>
      <c r="P821" s="17"/>
    </row>
    <row r="822" spans="1:16" x14ac:dyDescent="0.25">
      <c r="A822" s="3" t="s">
        <v>1689</v>
      </c>
      <c r="B822" s="3" t="s">
        <v>651</v>
      </c>
      <c r="C822" s="3" t="s">
        <v>514</v>
      </c>
      <c r="G822" s="4">
        <v>12.78000000000001</v>
      </c>
      <c r="H822" s="17">
        <v>1.387815619535937E-3</v>
      </c>
      <c r="I822" s="17">
        <v>1.387815619535937E-3</v>
      </c>
      <c r="J822" s="3">
        <v>1.1102524956287496E-3</v>
      </c>
      <c r="K822" s="3">
        <v>1.6653787434431245E-3</v>
      </c>
      <c r="L822" s="3">
        <v>2</v>
      </c>
      <c r="N822" s="5">
        <v>821</v>
      </c>
      <c r="P822" s="17"/>
    </row>
    <row r="823" spans="1:16" x14ac:dyDescent="0.25">
      <c r="A823" s="3" t="s">
        <v>1690</v>
      </c>
      <c r="B823" s="3" t="s">
        <v>726</v>
      </c>
      <c r="C823" s="3" t="s">
        <v>857</v>
      </c>
      <c r="D823" s="3">
        <v>37.130000000000003</v>
      </c>
      <c r="E823" s="3">
        <v>37.130000000000003</v>
      </c>
      <c r="F823" s="3">
        <v>37.130000000000003</v>
      </c>
      <c r="G823" s="4">
        <v>37.130000000000003</v>
      </c>
      <c r="H823" s="17">
        <v>1.0342400254351909E-2</v>
      </c>
      <c r="I823" s="17">
        <v>1.0342400254351909E-2</v>
      </c>
      <c r="J823" s="3">
        <v>1.625429106449509E-2</v>
      </c>
      <c r="K823" s="3">
        <v>2.438143659674263E-2</v>
      </c>
      <c r="L823" s="3">
        <v>2</v>
      </c>
      <c r="N823" s="5">
        <v>822</v>
      </c>
      <c r="P823" s="17"/>
    </row>
    <row r="824" spans="1:16" x14ac:dyDescent="0.25">
      <c r="A824" s="3" t="s">
        <v>1691</v>
      </c>
      <c r="B824" s="3" t="s">
        <v>520</v>
      </c>
      <c r="C824" s="3" t="s">
        <v>726</v>
      </c>
      <c r="D824" s="3">
        <v>12.52</v>
      </c>
      <c r="E824" s="3">
        <v>12.52</v>
      </c>
      <c r="F824" s="3">
        <v>12.52</v>
      </c>
      <c r="G824" s="4">
        <v>12.52</v>
      </c>
      <c r="H824" s="17">
        <v>7.2483674501070353E-3</v>
      </c>
      <c r="I824" s="17">
        <v>7.2483674501070353E-3</v>
      </c>
      <c r="J824" s="3">
        <v>5.7986939600856288E-3</v>
      </c>
      <c r="K824" s="3">
        <v>8.6980409401284427E-3</v>
      </c>
      <c r="L824" s="3">
        <v>2</v>
      </c>
      <c r="N824" s="5">
        <v>823</v>
      </c>
      <c r="P824" s="17"/>
    </row>
    <row r="825" spans="1:16" x14ac:dyDescent="0.25">
      <c r="A825" s="3" t="s">
        <v>1692</v>
      </c>
      <c r="B825" s="3" t="s">
        <v>520</v>
      </c>
      <c r="C825" s="3" t="s">
        <v>287</v>
      </c>
      <c r="G825" s="4">
        <v>42.314999999999991</v>
      </c>
      <c r="H825" s="17">
        <v>2.5365375613345849E-3</v>
      </c>
      <c r="I825" s="17">
        <v>2.5365375613345849E-3</v>
      </c>
      <c r="J825" s="3">
        <v>3.3952077420517355E-3</v>
      </c>
      <c r="K825" s="3">
        <v>5.0928116130776026E-3</v>
      </c>
      <c r="L825" s="3">
        <v>2</v>
      </c>
      <c r="N825" s="5">
        <v>824</v>
      </c>
      <c r="P825" s="17"/>
    </row>
    <row r="826" spans="1:16" x14ac:dyDescent="0.25">
      <c r="A826" s="3" t="s">
        <v>1693</v>
      </c>
      <c r="B826" s="3" t="s">
        <v>517</v>
      </c>
      <c r="C826" s="3" t="s">
        <v>519</v>
      </c>
      <c r="G826" s="4">
        <v>0.1</v>
      </c>
      <c r="H826" s="17">
        <v>1.8835922804477741E-3</v>
      </c>
      <c r="I826" s="17">
        <v>1.8835922804477741E-3</v>
      </c>
      <c r="J826" s="3">
        <v>1.5068738243582194E-3</v>
      </c>
      <c r="K826" s="3">
        <v>2.2603107365373287E-3</v>
      </c>
      <c r="L826" s="3">
        <v>2</v>
      </c>
      <c r="N826" s="5">
        <v>825</v>
      </c>
      <c r="P826" s="17"/>
    </row>
    <row r="827" spans="1:16" x14ac:dyDescent="0.25">
      <c r="A827" s="3" t="s">
        <v>1694</v>
      </c>
      <c r="B827" s="3" t="s">
        <v>976</v>
      </c>
      <c r="C827" s="3" t="s">
        <v>521</v>
      </c>
      <c r="G827" s="4">
        <v>5.6499999999999986</v>
      </c>
      <c r="H827" s="17">
        <v>2.3386675210170381E-3</v>
      </c>
      <c r="I827" s="17">
        <v>2.3386675210170381E-3</v>
      </c>
      <c r="J827" s="3">
        <f>I827*0.1</f>
        <v>2.3386675210170383E-4</v>
      </c>
      <c r="K827" s="3">
        <f>I827*10</f>
        <v>2.338667521017038E-2</v>
      </c>
      <c r="L827" s="3">
        <v>2</v>
      </c>
      <c r="N827" s="5">
        <v>826</v>
      </c>
      <c r="P827" s="17"/>
    </row>
    <row r="828" spans="1:16" x14ac:dyDescent="0.25">
      <c r="A828" s="3" t="s">
        <v>1695</v>
      </c>
      <c r="B828" s="3" t="s">
        <v>522</v>
      </c>
      <c r="C828" s="3" t="s">
        <v>976</v>
      </c>
      <c r="G828" s="4">
        <v>4.5100000000000167</v>
      </c>
      <c r="H828" s="19">
        <v>9.9769793788861646E-4</v>
      </c>
      <c r="I828" s="19">
        <v>9.9769793788861646E-4</v>
      </c>
      <c r="J828" s="3">
        <v>5.3925966442639806E-4</v>
      </c>
      <c r="K828" s="3">
        <v>1.9953958757772329E-3</v>
      </c>
      <c r="L828" s="3">
        <v>2</v>
      </c>
      <c r="N828" s="5">
        <v>827</v>
      </c>
      <c r="P828" s="17"/>
    </row>
    <row r="829" spans="1:16" x14ac:dyDescent="0.25">
      <c r="A829" s="3" t="s">
        <v>1696</v>
      </c>
      <c r="B829" s="3" t="s">
        <v>977</v>
      </c>
      <c r="C829" s="3" t="s">
        <v>976</v>
      </c>
      <c r="G829" s="4">
        <v>1.139999999999983</v>
      </c>
      <c r="H829" s="17">
        <v>4.394167229444669E-3</v>
      </c>
      <c r="I829" s="17">
        <v>4.394167229444669E-3</v>
      </c>
      <c r="J829" s="3">
        <v>7.8873251052046086E-4</v>
      </c>
      <c r="K829" s="3">
        <v>1.1830987657806911E-3</v>
      </c>
      <c r="L829" s="3">
        <v>2</v>
      </c>
      <c r="N829" s="5">
        <v>828</v>
      </c>
      <c r="P829" s="17"/>
    </row>
    <row r="830" spans="1:16" x14ac:dyDescent="0.25">
      <c r="A830" s="3" t="s">
        <v>1697</v>
      </c>
      <c r="B830" s="3" t="s">
        <v>977</v>
      </c>
      <c r="C830" s="3" t="s">
        <v>978</v>
      </c>
      <c r="G830" s="4">
        <v>4.5100000000000167</v>
      </c>
      <c r="H830" s="17">
        <v>5.1671390036178962E-3</v>
      </c>
      <c r="I830" s="17">
        <v>5.1671390036178962E-3</v>
      </c>
      <c r="J830" s="3">
        <v>2.7681640641576011E-3</v>
      </c>
      <c r="K830" s="3">
        <v>1.0334278007235792E-2</v>
      </c>
      <c r="L830" s="3">
        <v>2</v>
      </c>
      <c r="N830" s="5">
        <v>829</v>
      </c>
      <c r="P830" s="17"/>
    </row>
    <row r="831" spans="1:16" x14ac:dyDescent="0.25">
      <c r="A831" s="3" t="s">
        <v>1698</v>
      </c>
      <c r="B831" s="3" t="s">
        <v>524</v>
      </c>
      <c r="C831" s="3" t="s">
        <v>977</v>
      </c>
      <c r="D831" s="3">
        <v>5.65</v>
      </c>
      <c r="E831" s="3">
        <v>5.65</v>
      </c>
      <c r="F831" s="3">
        <v>5.65</v>
      </c>
      <c r="G831" s="4">
        <v>5.65</v>
      </c>
      <c r="H831" s="17">
        <v>3.5440105313052539E-3</v>
      </c>
      <c r="I831" s="17">
        <v>3.5440105313052539E-3</v>
      </c>
      <c r="J831" s="3">
        <v>2.8352084250442035E-3</v>
      </c>
      <c r="K831" s="3">
        <v>4.2528126375663044E-3</v>
      </c>
      <c r="L831" s="3">
        <v>2</v>
      </c>
      <c r="N831" s="5">
        <v>830</v>
      </c>
      <c r="P831" s="17"/>
    </row>
    <row r="832" spans="1:16" x14ac:dyDescent="0.25">
      <c r="A832" s="3" t="s">
        <v>1699</v>
      </c>
      <c r="B832" s="3" t="s">
        <v>525</v>
      </c>
      <c r="C832" s="3" t="s">
        <v>524</v>
      </c>
      <c r="G832" s="4">
        <v>40.605000000000011</v>
      </c>
      <c r="H832" s="17">
        <v>1.452687573573282E-3</v>
      </c>
      <c r="I832" s="17">
        <v>1.452687573573282E-3</v>
      </c>
      <c r="J832" s="3">
        <v>7.9694415419692211E-4</v>
      </c>
      <c r="K832" s="3">
        <v>1.1954162312953829E-3</v>
      </c>
      <c r="L832" s="3">
        <v>2</v>
      </c>
      <c r="N832" s="5">
        <v>831</v>
      </c>
      <c r="P832" s="17"/>
    </row>
    <row r="833" spans="1:16" x14ac:dyDescent="0.25">
      <c r="A833" s="3" t="s">
        <v>1700</v>
      </c>
      <c r="B833" s="3" t="s">
        <v>978</v>
      </c>
      <c r="C833" s="3" t="s">
        <v>726</v>
      </c>
      <c r="G833" s="4">
        <v>21</v>
      </c>
      <c r="H833" s="17">
        <v>7.8705070796035184E-2</v>
      </c>
      <c r="I833" s="17">
        <v>7.8705070796035184E-2</v>
      </c>
      <c r="J833" s="3">
        <v>8.0161887164031276E-2</v>
      </c>
      <c r="K833" s="3">
        <v>0.12024283074604691</v>
      </c>
      <c r="L833" s="3">
        <v>2</v>
      </c>
      <c r="N833" s="5">
        <v>832</v>
      </c>
      <c r="P833" s="17"/>
    </row>
    <row r="834" spans="1:16" x14ac:dyDescent="0.25">
      <c r="A834" s="3" t="s">
        <v>1701</v>
      </c>
      <c r="B834" s="3" t="s">
        <v>588</v>
      </c>
      <c r="C834" s="3" t="s">
        <v>526</v>
      </c>
      <c r="G834" s="4">
        <v>0.1</v>
      </c>
      <c r="H834" s="17">
        <v>1.658230767271182E-3</v>
      </c>
      <c r="I834" s="17">
        <v>1.658230767271182E-3</v>
      </c>
      <c r="J834" s="3">
        <v>1.2171861706453729E-3</v>
      </c>
      <c r="K834" s="3">
        <v>1.8257792559680591E-3</v>
      </c>
      <c r="L834" s="3">
        <v>2</v>
      </c>
      <c r="N834" s="5">
        <v>833</v>
      </c>
      <c r="P834" s="17"/>
    </row>
    <row r="835" spans="1:16" x14ac:dyDescent="0.25">
      <c r="A835" s="3" t="s">
        <v>1702</v>
      </c>
      <c r="B835" s="3" t="s">
        <v>588</v>
      </c>
      <c r="C835" s="3" t="s">
        <v>526</v>
      </c>
      <c r="G835" s="4">
        <v>4.8099999999999996</v>
      </c>
      <c r="H835" s="17">
        <v>1.329548442918082E-3</v>
      </c>
      <c r="I835" s="17">
        <v>1.329548442918082E-3</v>
      </c>
      <c r="J835" s="3">
        <v>4.8297928130308881E-4</v>
      </c>
      <c r="K835" s="3">
        <v>7.2446892195463311E-4</v>
      </c>
      <c r="L835" s="3">
        <v>2</v>
      </c>
      <c r="N835" s="5">
        <v>834</v>
      </c>
      <c r="P835" s="17"/>
    </row>
    <row r="836" spans="1:16" x14ac:dyDescent="0.25">
      <c r="A836" s="3" t="s">
        <v>1703</v>
      </c>
      <c r="B836" s="3" t="s">
        <v>527</v>
      </c>
      <c r="C836" s="3" t="s">
        <v>463</v>
      </c>
      <c r="G836" s="4">
        <v>26.715000000000021</v>
      </c>
      <c r="H836" s="17">
        <v>1.4123934221146549E-3</v>
      </c>
      <c r="I836" s="17">
        <v>1.4123934221146549E-3</v>
      </c>
      <c r="J836" s="3">
        <v>4.9750114995714091E-4</v>
      </c>
      <c r="K836" s="3">
        <v>7.4625172493571136E-4</v>
      </c>
      <c r="L836" s="3">
        <v>2</v>
      </c>
      <c r="N836" s="5">
        <v>835</v>
      </c>
      <c r="P836" s="17"/>
    </row>
    <row r="837" spans="1:16" x14ac:dyDescent="0.25">
      <c r="A837" s="3" t="s">
        <v>1704</v>
      </c>
      <c r="B837" s="3" t="s">
        <v>667</v>
      </c>
      <c r="C837" s="3" t="s">
        <v>959</v>
      </c>
      <c r="D837" s="3">
        <v>11.965</v>
      </c>
      <c r="E837" s="3">
        <v>11.965</v>
      </c>
      <c r="F837" s="3">
        <v>11.965</v>
      </c>
      <c r="G837" s="4">
        <v>11.965</v>
      </c>
      <c r="H837" s="17">
        <v>3.0724011605272761E-3</v>
      </c>
      <c r="I837" s="17">
        <v>3.0724011605272761E-3</v>
      </c>
      <c r="J837" s="3">
        <f>I837*0.8</f>
        <v>2.4579209284218209E-3</v>
      </c>
      <c r="K837" s="3">
        <f>I837*1.2</f>
        <v>3.6868813926327314E-3</v>
      </c>
      <c r="L837" s="3">
        <v>2</v>
      </c>
      <c r="N837" s="5">
        <v>836</v>
      </c>
      <c r="P837" s="17"/>
    </row>
    <row r="838" spans="1:16" x14ac:dyDescent="0.25">
      <c r="A838" s="3" t="s">
        <v>1705</v>
      </c>
      <c r="B838" s="3" t="s">
        <v>959</v>
      </c>
      <c r="C838" s="3" t="s">
        <v>867</v>
      </c>
      <c r="D838" s="3">
        <v>5.87</v>
      </c>
      <c r="E838" s="3">
        <v>5.87</v>
      </c>
      <c r="F838" s="3">
        <v>5.87</v>
      </c>
      <c r="G838" s="4">
        <v>5.87</v>
      </c>
      <c r="H838" s="17">
        <v>2.636683444597152E-3</v>
      </c>
      <c r="I838" s="17">
        <v>2.636683444597152E-3</v>
      </c>
      <c r="J838" s="3">
        <v>4.4941444605403674E-3</v>
      </c>
      <c r="K838" s="3">
        <v>6.7412166908105498E-3</v>
      </c>
      <c r="L838" s="3">
        <v>2</v>
      </c>
      <c r="N838" s="5">
        <v>837</v>
      </c>
      <c r="P838" s="17"/>
    </row>
    <row r="839" spans="1:16" x14ac:dyDescent="0.25">
      <c r="A839" s="3" t="s">
        <v>1706</v>
      </c>
      <c r="B839" s="3" t="s">
        <v>532</v>
      </c>
      <c r="C839" s="3" t="s">
        <v>502</v>
      </c>
      <c r="G839" s="4">
        <v>2.93</v>
      </c>
      <c r="H839" s="19">
        <v>1.1566609577332351E-2</v>
      </c>
      <c r="I839" s="19">
        <v>1.1566609577332351E-2</v>
      </c>
      <c r="J839" s="3">
        <v>9.2532876618658805E-3</v>
      </c>
      <c r="K839" s="3">
        <v>1.3879931492798821E-2</v>
      </c>
      <c r="L839" s="3">
        <v>2</v>
      </c>
      <c r="N839" s="5">
        <v>838</v>
      </c>
      <c r="P839" s="17"/>
    </row>
    <row r="840" spans="1:16" x14ac:dyDescent="0.25">
      <c r="A840" s="3" t="s">
        <v>1707</v>
      </c>
      <c r="B840" s="3" t="s">
        <v>979</v>
      </c>
      <c r="C840" s="3" t="s">
        <v>533</v>
      </c>
      <c r="G840" s="4">
        <v>3.33</v>
      </c>
      <c r="H840" s="17">
        <v>4.6638270885674023E-3</v>
      </c>
      <c r="I840" s="17">
        <v>4.6638270885674023E-3</v>
      </c>
      <c r="J840" s="3">
        <v>2.3319135442837011E-3</v>
      </c>
      <c r="K840" s="3">
        <v>4.246746807529872E-2</v>
      </c>
      <c r="L840" s="3">
        <v>2</v>
      </c>
      <c r="N840" s="5">
        <v>839</v>
      </c>
      <c r="P840" s="17"/>
    </row>
    <row r="841" spans="1:16" x14ac:dyDescent="0.25">
      <c r="A841" s="3" t="s">
        <v>1708</v>
      </c>
      <c r="B841" s="3" t="s">
        <v>980</v>
      </c>
      <c r="C841" s="3" t="s">
        <v>534</v>
      </c>
      <c r="G841" s="4">
        <v>0.2</v>
      </c>
      <c r="H841" s="17">
        <v>3.7995817274584631E-3</v>
      </c>
      <c r="I841" s="17">
        <v>3.7995817274584631E-3</v>
      </c>
      <c r="J841" s="3">
        <v>3.0396653819667707E-3</v>
      </c>
      <c r="K841" s="3">
        <v>4.5594980729501558E-3</v>
      </c>
      <c r="L841" s="3">
        <v>2</v>
      </c>
      <c r="N841" s="5">
        <v>840</v>
      </c>
      <c r="P841" s="17"/>
    </row>
    <row r="842" spans="1:16" x14ac:dyDescent="0.25">
      <c r="A842" s="3" t="s">
        <v>1709</v>
      </c>
      <c r="B842" s="3" t="s">
        <v>981</v>
      </c>
      <c r="C842" s="3" t="s">
        <v>536</v>
      </c>
      <c r="G842" s="4">
        <v>0.1</v>
      </c>
      <c r="H842" s="17">
        <v>4.2387454109242464E-3</v>
      </c>
      <c r="I842" s="17">
        <v>4.2387454109242464E-3</v>
      </c>
      <c r="J842" s="3">
        <v>3.3909963287393971E-3</v>
      </c>
      <c r="K842" s="3">
        <v>5.0864944931090957E-3</v>
      </c>
      <c r="L842" s="3">
        <v>2</v>
      </c>
      <c r="N842" s="5">
        <v>841</v>
      </c>
      <c r="P842" s="17"/>
    </row>
    <row r="843" spans="1:16" x14ac:dyDescent="0.25">
      <c r="A843" s="3" t="s">
        <v>1710</v>
      </c>
      <c r="B843" s="3" t="s">
        <v>979</v>
      </c>
      <c r="C843" s="3" t="s">
        <v>540</v>
      </c>
      <c r="G843" s="4">
        <v>1.3299999999999841</v>
      </c>
      <c r="H843" s="17">
        <v>6.6523193663398112E-3</v>
      </c>
      <c r="I843" s="17">
        <v>6.6523193663398112E-3</v>
      </c>
      <c r="J843" s="3">
        <v>5.3218554930718493E-3</v>
      </c>
      <c r="K843" s="3">
        <v>7.9827832396077731E-3</v>
      </c>
      <c r="L843" s="3">
        <v>2</v>
      </c>
      <c r="N843" s="5">
        <v>842</v>
      </c>
      <c r="P843" s="17"/>
    </row>
    <row r="844" spans="1:16" x14ac:dyDescent="0.25">
      <c r="A844" s="3" t="s">
        <v>1711</v>
      </c>
      <c r="B844" s="3" t="s">
        <v>541</v>
      </c>
      <c r="C844" s="3" t="s">
        <v>980</v>
      </c>
      <c r="G844" s="4">
        <v>0.1</v>
      </c>
      <c r="H844" s="30">
        <v>7.1071049751510523E-3</v>
      </c>
      <c r="I844" s="30">
        <v>7.1071049751510523E-3</v>
      </c>
      <c r="J844" s="3">
        <v>5.6856839801208425E-3</v>
      </c>
      <c r="K844" s="3">
        <v>8.5285259701812621E-3</v>
      </c>
      <c r="L844" s="3">
        <v>2</v>
      </c>
      <c r="N844" s="5">
        <v>843</v>
      </c>
    </row>
    <row r="845" spans="1:16" x14ac:dyDescent="0.25">
      <c r="A845" s="3" t="s">
        <v>1712</v>
      </c>
      <c r="B845" s="3" t="s">
        <v>981</v>
      </c>
      <c r="C845" s="3" t="s">
        <v>542</v>
      </c>
      <c r="G845" s="4">
        <v>0.1</v>
      </c>
      <c r="H845" s="30">
        <v>6.1705367568444594E-3</v>
      </c>
      <c r="I845" s="30">
        <v>6.1705367568444594E-3</v>
      </c>
      <c r="J845" s="3">
        <v>3.4105659144630183E-3</v>
      </c>
      <c r="K845" s="3">
        <v>5.1158488716945266E-3</v>
      </c>
      <c r="L845" s="3">
        <v>2</v>
      </c>
      <c r="N845" s="5">
        <v>844</v>
      </c>
    </row>
    <row r="846" spans="1:16" x14ac:dyDescent="0.25">
      <c r="A846" s="3" t="s">
        <v>1713</v>
      </c>
      <c r="B846" s="3" t="s">
        <v>982</v>
      </c>
      <c r="C846" s="3" t="s">
        <v>543</v>
      </c>
      <c r="G846" s="4">
        <v>0.1</v>
      </c>
      <c r="H846" s="30">
        <v>6.3285652209002048E-3</v>
      </c>
      <c r="I846" s="30">
        <v>6.3285652209002048E-3</v>
      </c>
      <c r="J846" s="3">
        <v>3.0587927960555907E-3</v>
      </c>
      <c r="K846" s="3">
        <v>4.5881891940833851E-3</v>
      </c>
      <c r="L846" s="3">
        <v>2</v>
      </c>
      <c r="N846" s="5">
        <v>845</v>
      </c>
    </row>
    <row r="847" spans="1:16" x14ac:dyDescent="0.25">
      <c r="A847" s="3" t="s">
        <v>1714</v>
      </c>
      <c r="B847" s="3" t="s">
        <v>982</v>
      </c>
      <c r="C847" s="3" t="s">
        <v>537</v>
      </c>
      <c r="G847" s="4">
        <v>0.1</v>
      </c>
      <c r="H847" s="30">
        <v>3.5886293056752272E-3</v>
      </c>
      <c r="I847" s="30">
        <v>3.5886293056752272E-3</v>
      </c>
      <c r="J847" s="3">
        <v>4.1122238683175862E-3</v>
      </c>
      <c r="K847" s="3">
        <v>6.1683358024763792E-3</v>
      </c>
      <c r="L847" s="3">
        <v>2</v>
      </c>
      <c r="N847" s="5">
        <v>846</v>
      </c>
    </row>
    <row r="848" spans="1:16" x14ac:dyDescent="0.25">
      <c r="A848" s="3" t="s">
        <v>1715</v>
      </c>
      <c r="B848" s="3" t="s">
        <v>983</v>
      </c>
      <c r="C848" s="3" t="s">
        <v>545</v>
      </c>
      <c r="G848" s="4">
        <v>1.1000000000000001</v>
      </c>
      <c r="H848" s="30">
        <v>2.9059056279180781E-3</v>
      </c>
      <c r="I848" s="30">
        <v>2.9059056279180781E-3</v>
      </c>
      <c r="J848" s="3">
        <v>2.7578423228594388E-3</v>
      </c>
      <c r="K848" s="3">
        <v>4.1367634842891573E-3</v>
      </c>
      <c r="L848" s="3">
        <v>2</v>
      </c>
      <c r="N848" s="5">
        <v>847</v>
      </c>
    </row>
    <row r="849" spans="1:14" x14ac:dyDescent="0.25">
      <c r="A849" s="3" t="s">
        <v>1716</v>
      </c>
      <c r="B849" s="3" t="s">
        <v>983</v>
      </c>
      <c r="C849" s="3" t="s">
        <v>544</v>
      </c>
      <c r="G849" s="4">
        <v>6.3999999999999986</v>
      </c>
      <c r="H849" s="30">
        <v>6.1619630219482196E-3</v>
      </c>
      <c r="I849" s="30">
        <v>6.1619630219482196E-3</v>
      </c>
      <c r="J849" s="3">
        <f>I849*0.8</f>
        <v>4.9295704175585757E-3</v>
      </c>
      <c r="K849" s="3">
        <f>I849*1.2</f>
        <v>7.3943556263378635E-3</v>
      </c>
      <c r="L849" s="3">
        <v>2</v>
      </c>
      <c r="N849" s="5">
        <v>848</v>
      </c>
    </row>
    <row r="850" spans="1:14" x14ac:dyDescent="0.25">
      <c r="A850" s="3" t="s">
        <v>1717</v>
      </c>
      <c r="B850" s="3" t="s">
        <v>984</v>
      </c>
      <c r="C850" s="3" t="s">
        <v>546</v>
      </c>
      <c r="G850" s="4">
        <v>3.1849999999999739</v>
      </c>
      <c r="H850" s="30">
        <v>2.7872116536186852E-3</v>
      </c>
      <c r="I850" s="30">
        <v>2.7872116536186852E-3</v>
      </c>
      <c r="J850" s="3">
        <v>1.3936058268093426E-3</v>
      </c>
      <c r="K850" s="3">
        <v>2.5301077807359236E-3</v>
      </c>
      <c r="L850" s="3">
        <v>2</v>
      </c>
      <c r="N850" s="5">
        <v>849</v>
      </c>
    </row>
    <row r="851" spans="1:14" x14ac:dyDescent="0.25">
      <c r="A851" s="3" t="s">
        <v>1718</v>
      </c>
      <c r="B851" s="3" t="s">
        <v>984</v>
      </c>
      <c r="C851" s="3" t="s">
        <v>547</v>
      </c>
      <c r="G851" s="4">
        <v>1.0850000000000211</v>
      </c>
      <c r="H851" s="30">
        <v>5.8537327124236873E-3</v>
      </c>
      <c r="I851" s="30">
        <v>5.8537327124236873E-3</v>
      </c>
      <c r="J851" s="3">
        <v>4.6829861699389502E-3</v>
      </c>
      <c r="K851" s="3">
        <v>7.0244792549084244E-3</v>
      </c>
      <c r="L851" s="3">
        <v>2</v>
      </c>
      <c r="N851" s="5">
        <v>850</v>
      </c>
    </row>
    <row r="852" spans="1:14" x14ac:dyDescent="0.25">
      <c r="A852" s="3" t="s">
        <v>1719</v>
      </c>
      <c r="B852" s="3" t="s">
        <v>985</v>
      </c>
      <c r="C852" s="3" t="s">
        <v>549</v>
      </c>
      <c r="G852" s="4">
        <v>0.1</v>
      </c>
      <c r="H852" s="30">
        <v>5.2631786053988217E-3</v>
      </c>
      <c r="I852" s="30">
        <v>5.2631786053988217E-3</v>
      </c>
      <c r="J852" s="3">
        <v>4.2105428843190575E-3</v>
      </c>
      <c r="K852" s="3">
        <v>6.3158143264785858E-3</v>
      </c>
      <c r="L852" s="3">
        <v>2</v>
      </c>
      <c r="N852" s="5">
        <v>851</v>
      </c>
    </row>
    <row r="853" spans="1:14" x14ac:dyDescent="0.25">
      <c r="A853" s="3" t="s">
        <v>1720</v>
      </c>
      <c r="B853" s="3" t="s">
        <v>985</v>
      </c>
      <c r="C853" s="3" t="s">
        <v>551</v>
      </c>
      <c r="G853" s="4">
        <v>7.0900000000000034</v>
      </c>
      <c r="H853" s="30">
        <v>2.951936397754601E-3</v>
      </c>
      <c r="I853" s="30">
        <v>2.951936397754601E-3</v>
      </c>
      <c r="J853" s="3">
        <v>1.4759681988773005E-3</v>
      </c>
      <c r="K853" s="3">
        <v>1.9208069435516818E-3</v>
      </c>
      <c r="L853" s="3">
        <v>2</v>
      </c>
      <c r="N853" s="5">
        <v>852</v>
      </c>
    </row>
    <row r="854" spans="1:14" x14ac:dyDescent="0.25">
      <c r="A854" s="3" t="s">
        <v>1721</v>
      </c>
      <c r="B854" s="3" t="s">
        <v>986</v>
      </c>
      <c r="C854" s="3" t="s">
        <v>552</v>
      </c>
      <c r="G854" s="4">
        <v>1.869999999999989</v>
      </c>
      <c r="H854" s="30">
        <v>7.7542534028260098E-4</v>
      </c>
      <c r="I854" s="30">
        <v>7.7542534028260098E-4</v>
      </c>
      <c r="J854" s="3">
        <v>3.2837092262043201E-3</v>
      </c>
      <c r="K854" s="3">
        <v>4.9255638393064793E-3</v>
      </c>
      <c r="L854" s="3">
        <v>2</v>
      </c>
      <c r="N854" s="5">
        <v>853</v>
      </c>
    </row>
    <row r="855" spans="1:14" x14ac:dyDescent="0.25">
      <c r="A855" s="3" t="s">
        <v>1722</v>
      </c>
      <c r="B855" s="3" t="s">
        <v>986</v>
      </c>
      <c r="C855" s="3" t="s">
        <v>550</v>
      </c>
      <c r="G855" s="4">
        <v>1.52000000000001</v>
      </c>
      <c r="H855" s="30">
        <v>1.4097432205098549E-3</v>
      </c>
      <c r="I855" s="30">
        <v>1.4097432205098549E-3</v>
      </c>
      <c r="J855" s="3">
        <v>6.4892708307530585E-4</v>
      </c>
      <c r="K855" s="3">
        <v>9.7339062461295877E-4</v>
      </c>
      <c r="L855" s="3">
        <v>2</v>
      </c>
      <c r="N855" s="5">
        <v>854</v>
      </c>
    </row>
    <row r="856" spans="1:14" x14ac:dyDescent="0.25">
      <c r="A856" s="3" t="s">
        <v>1723</v>
      </c>
      <c r="B856" s="3" t="s">
        <v>987</v>
      </c>
      <c r="C856" s="3" t="s">
        <v>553</v>
      </c>
      <c r="G856" s="4">
        <v>0.1</v>
      </c>
      <c r="H856" s="30">
        <v>2.4364522919849301E-3</v>
      </c>
      <c r="I856" s="30">
        <v>2.4364522919849301E-3</v>
      </c>
      <c r="J856" s="3">
        <v>1.2182261459924651E-3</v>
      </c>
      <c r="K856" s="3">
        <v>2.3587034619436488E-2</v>
      </c>
      <c r="L856" s="3">
        <v>2</v>
      </c>
      <c r="N856" s="5">
        <v>855</v>
      </c>
    </row>
    <row r="857" spans="1:14" x14ac:dyDescent="0.25">
      <c r="A857" s="3" t="s">
        <v>1724</v>
      </c>
      <c r="B857" s="3" t="s">
        <v>987</v>
      </c>
      <c r="C857" s="3" t="s">
        <v>556</v>
      </c>
      <c r="G857" s="4">
        <v>3.399999999999991</v>
      </c>
      <c r="H857" s="30">
        <v>4.7968809681790316E-3</v>
      </c>
      <c r="I857" s="30">
        <v>4.7968809681790316E-3</v>
      </c>
      <c r="J857" s="3">
        <f>I857*0.1</f>
        <v>4.7968809681790317E-4</v>
      </c>
      <c r="K857" s="3">
        <f>I857*10</f>
        <v>4.796880968179032E-2</v>
      </c>
      <c r="L857" s="3">
        <v>2</v>
      </c>
      <c r="N857" s="5">
        <v>856</v>
      </c>
    </row>
    <row r="858" spans="1:14" x14ac:dyDescent="0.25">
      <c r="A858" s="3" t="s">
        <v>1725</v>
      </c>
      <c r="B858" s="3" t="s">
        <v>988</v>
      </c>
      <c r="C858" s="3" t="s">
        <v>557</v>
      </c>
      <c r="D858" s="3">
        <v>3.6</v>
      </c>
      <c r="E858" s="3">
        <v>3.6</v>
      </c>
      <c r="F858" s="3">
        <v>3.6</v>
      </c>
      <c r="G858" s="4">
        <v>3.6</v>
      </c>
      <c r="H858" s="30">
        <v>2.4543594417603988E-3</v>
      </c>
      <c r="I858" s="30">
        <v>2.4543594417603988E-3</v>
      </c>
      <c r="J858" s="3">
        <f>I858*0.1</f>
        <v>2.4543594417603988E-4</v>
      </c>
      <c r="K858" s="3">
        <f>I858*10</f>
        <v>2.4543594417603988E-2</v>
      </c>
      <c r="L858" s="3">
        <v>2</v>
      </c>
      <c r="N858" s="5">
        <v>857</v>
      </c>
    </row>
    <row r="859" spans="1:14" x14ac:dyDescent="0.25">
      <c r="A859" s="3" t="s">
        <v>1726</v>
      </c>
      <c r="B859" s="3" t="s">
        <v>988</v>
      </c>
      <c r="C859" s="3" t="s">
        <v>560</v>
      </c>
      <c r="G859" s="4">
        <v>0.1</v>
      </c>
      <c r="H859" s="30">
        <v>1.36924806658154E-3</v>
      </c>
      <c r="I859" s="30">
        <v>1.36924806658154E-3</v>
      </c>
      <c r="J859" s="3">
        <v>1.095398453265232E-3</v>
      </c>
      <c r="K859" s="3">
        <v>1.6430976798978479E-3</v>
      </c>
      <c r="L859" s="3">
        <v>2</v>
      </c>
      <c r="N859" s="5">
        <v>858</v>
      </c>
    </row>
    <row r="860" spans="1:14" x14ac:dyDescent="0.25">
      <c r="A860" s="3" t="s">
        <v>1727</v>
      </c>
      <c r="B860" s="3" t="s">
        <v>562</v>
      </c>
      <c r="C860" s="3" t="s">
        <v>989</v>
      </c>
      <c r="G860" s="4">
        <v>28.849999999999991</v>
      </c>
      <c r="H860" s="30">
        <v>2.931794839498964E-3</v>
      </c>
      <c r="I860" s="30">
        <v>2.931794839498964E-3</v>
      </c>
      <c r="J860" s="3">
        <f>I860*0.8</f>
        <v>2.3454358715991712E-3</v>
      </c>
      <c r="K860" s="3">
        <f>I860*1.2</f>
        <v>3.5181538073987568E-3</v>
      </c>
      <c r="L860" s="3">
        <v>2</v>
      </c>
      <c r="N860" s="5">
        <v>859</v>
      </c>
    </row>
    <row r="861" spans="1:14" x14ac:dyDescent="0.25">
      <c r="A861" s="3" t="s">
        <v>1728</v>
      </c>
      <c r="B861" s="3" t="s">
        <v>989</v>
      </c>
      <c r="C861" s="3" t="s">
        <v>564</v>
      </c>
      <c r="G861" s="4">
        <v>31.059999999999992</v>
      </c>
      <c r="H861" s="30">
        <v>5.2982314828219391E-3</v>
      </c>
      <c r="I861" s="30">
        <v>5.2982314828219391E-3</v>
      </c>
      <c r="J861" s="3">
        <f>I861*0.8</f>
        <v>4.2385851862575515E-3</v>
      </c>
      <c r="K861" s="3">
        <f>I861*1.2</f>
        <v>6.3578777793863268E-3</v>
      </c>
      <c r="L861" s="3">
        <v>2</v>
      </c>
      <c r="N861" s="5">
        <v>860</v>
      </c>
    </row>
    <row r="862" spans="1:14" x14ac:dyDescent="0.25">
      <c r="A862" s="3" t="s">
        <v>1729</v>
      </c>
      <c r="B862" s="3" t="s">
        <v>565</v>
      </c>
      <c r="C862" s="3" t="s">
        <v>568</v>
      </c>
      <c r="G862" s="4">
        <v>27.47</v>
      </c>
      <c r="H862" s="30">
        <v>5.9593084272147501E-4</v>
      </c>
      <c r="I862" s="30">
        <v>5.9593084272147501E-4</v>
      </c>
      <c r="J862" s="3">
        <f>I862*0.8</f>
        <v>4.7674467417718004E-4</v>
      </c>
      <c r="K862" s="3">
        <f>I862*1.2</f>
        <v>7.1511701126577003E-4</v>
      </c>
      <c r="L862" s="3">
        <v>2</v>
      </c>
      <c r="N862" s="5">
        <v>861</v>
      </c>
    </row>
    <row r="863" spans="1:14" x14ac:dyDescent="0.25">
      <c r="A863" s="3" t="s">
        <v>1730</v>
      </c>
      <c r="B863" s="3" t="s">
        <v>565</v>
      </c>
      <c r="C863" s="3" t="s">
        <v>970</v>
      </c>
      <c r="G863" s="4">
        <v>12.259999999999989</v>
      </c>
      <c r="H863" s="30">
        <v>1.4324965403852511E-2</v>
      </c>
      <c r="I863" s="30">
        <v>1.4324965403852511E-2</v>
      </c>
      <c r="J863" s="3">
        <v>5.7551662403142545E-3</v>
      </c>
      <c r="K863" s="3">
        <v>8.6327493604713805E-3</v>
      </c>
      <c r="L863" s="3">
        <v>2</v>
      </c>
      <c r="N863" s="5">
        <v>862</v>
      </c>
    </row>
    <row r="864" spans="1:14" x14ac:dyDescent="0.25">
      <c r="A864" s="3" t="s">
        <v>1731</v>
      </c>
      <c r="B864" s="3" t="s">
        <v>670</v>
      </c>
      <c r="C864" s="3" t="s">
        <v>563</v>
      </c>
      <c r="G864" s="4">
        <v>0.32999999999999829</v>
      </c>
      <c r="H864" s="30">
        <v>2.9298572172778881E-3</v>
      </c>
      <c r="I864" s="30">
        <v>2.9298572172778881E-3</v>
      </c>
      <c r="J864" s="3">
        <v>2.3438857738223105E-3</v>
      </c>
      <c r="K864" s="3">
        <v>3.5158286607334657E-3</v>
      </c>
      <c r="L864" s="3">
        <v>2</v>
      </c>
      <c r="N864" s="5">
        <v>863</v>
      </c>
    </row>
    <row r="865" spans="1:14" x14ac:dyDescent="0.25">
      <c r="A865" s="3" t="s">
        <v>1732</v>
      </c>
      <c r="B865" s="3" t="s">
        <v>569</v>
      </c>
      <c r="C865" s="3" t="s">
        <v>566</v>
      </c>
      <c r="G865" s="4">
        <v>5.6699999999999982</v>
      </c>
      <c r="H865" s="30">
        <v>3.3074097378280971E-3</v>
      </c>
      <c r="I865" s="30">
        <v>3.3074097378280971E-3</v>
      </c>
      <c r="J865" s="3">
        <v>1.6537048689140486E-3</v>
      </c>
      <c r="K865" s="3">
        <v>2.9091992545190376E-2</v>
      </c>
      <c r="L865" s="3">
        <v>2</v>
      </c>
      <c r="N865" s="5">
        <v>864</v>
      </c>
    </row>
    <row r="866" spans="1:14" x14ac:dyDescent="0.25">
      <c r="A866" s="3" t="s">
        <v>1733</v>
      </c>
      <c r="B866" s="3" t="s">
        <v>568</v>
      </c>
      <c r="C866" s="3" t="s">
        <v>570</v>
      </c>
      <c r="D866" s="3">
        <v>18.77</v>
      </c>
      <c r="E866" s="3">
        <v>18.77</v>
      </c>
      <c r="F866" s="3">
        <v>18.77</v>
      </c>
      <c r="G866" s="4">
        <v>18.77</v>
      </c>
      <c r="H866" s="30">
        <v>1.282566454182681E-3</v>
      </c>
      <c r="I866" s="30">
        <v>1.282566454182681E-3</v>
      </c>
      <c r="J866" s="3">
        <v>5.1487844380193408E-4</v>
      </c>
      <c r="K866" s="3">
        <v>7.7231766570290102E-4</v>
      </c>
      <c r="L866" s="3">
        <v>2</v>
      </c>
      <c r="N866" s="5">
        <v>865</v>
      </c>
    </row>
    <row r="867" spans="1:14" x14ac:dyDescent="0.25">
      <c r="A867" s="3" t="s">
        <v>1734</v>
      </c>
      <c r="B867" s="3" t="s">
        <v>990</v>
      </c>
      <c r="C867" s="3" t="s">
        <v>570</v>
      </c>
      <c r="G867" s="4">
        <v>4.0599999999999969</v>
      </c>
      <c r="H867" s="30">
        <v>7.6271171650014943E-3</v>
      </c>
      <c r="I867" s="30">
        <v>7.6271171650014943E-3</v>
      </c>
      <c r="J867" s="3">
        <v>3.1117548871246762E-3</v>
      </c>
      <c r="K867" s="3">
        <v>4.6676323306870139E-3</v>
      </c>
      <c r="L867" s="3">
        <v>2</v>
      </c>
      <c r="N867" s="5">
        <v>866</v>
      </c>
    </row>
    <row r="868" spans="1:14" x14ac:dyDescent="0.25">
      <c r="A868" s="3" t="s">
        <v>1735</v>
      </c>
      <c r="B868" s="3" t="s">
        <v>567</v>
      </c>
      <c r="C868" s="3" t="s">
        <v>990</v>
      </c>
      <c r="G868" s="4">
        <v>3.7699999999999978</v>
      </c>
      <c r="H868" s="30">
        <v>2.7750759950820468E-3</v>
      </c>
      <c r="I868" s="30">
        <v>2.7750759950820468E-3</v>
      </c>
      <c r="J868" s="3">
        <v>1.3875379975410234E-3</v>
      </c>
      <c r="K868" s="3">
        <v>2.4560530991145973E-3</v>
      </c>
      <c r="L868" s="3">
        <v>2</v>
      </c>
      <c r="N868" s="5">
        <v>867</v>
      </c>
    </row>
    <row r="869" spans="1:14" x14ac:dyDescent="0.25">
      <c r="A869" s="3" t="s">
        <v>1736</v>
      </c>
      <c r="B869" s="3" t="s">
        <v>991</v>
      </c>
      <c r="C869" s="3" t="s">
        <v>573</v>
      </c>
      <c r="G869" s="4">
        <v>0.42000000000001309</v>
      </c>
      <c r="H869" s="30">
        <v>4.0333250298829042E-3</v>
      </c>
      <c r="I869" s="30">
        <v>4.0333250298829042E-3</v>
      </c>
      <c r="J869" s="3">
        <v>2.0166625149414521E-3</v>
      </c>
      <c r="K869" s="3">
        <v>8.0666500597658085E-3</v>
      </c>
      <c r="L869" s="3">
        <v>2</v>
      </c>
      <c r="N869" s="5">
        <v>868</v>
      </c>
    </row>
    <row r="870" spans="1:14" x14ac:dyDescent="0.25">
      <c r="A870" s="3" t="s">
        <v>1737</v>
      </c>
      <c r="B870" s="3" t="s">
        <v>991</v>
      </c>
      <c r="C870" s="3" t="s">
        <v>575</v>
      </c>
      <c r="G870" s="4">
        <v>2.899999999999999</v>
      </c>
      <c r="H870" s="30">
        <v>6.522548165058927E-3</v>
      </c>
      <c r="I870" s="30">
        <v>6.522548165058927E-3</v>
      </c>
      <c r="J870" s="3">
        <v>2.6136790865208099E-3</v>
      </c>
      <c r="K870" s="3">
        <v>3.9205186297812146E-3</v>
      </c>
      <c r="L870" s="3">
        <v>2</v>
      </c>
      <c r="N870" s="5">
        <v>869</v>
      </c>
    </row>
    <row r="871" spans="1:14" x14ac:dyDescent="0.25">
      <c r="A871" s="3" t="s">
        <v>1738</v>
      </c>
      <c r="B871" s="3" t="s">
        <v>574</v>
      </c>
      <c r="C871" s="3" t="s">
        <v>578</v>
      </c>
      <c r="G871" s="4">
        <v>23.13999999999999</v>
      </c>
      <c r="H871" s="30">
        <v>9.3906003657155505E-4</v>
      </c>
      <c r="I871" s="30">
        <v>9.3906003657155505E-4</v>
      </c>
      <c r="J871" s="3">
        <v>4.5473359254837866E-4</v>
      </c>
      <c r="K871" s="3">
        <v>6.8210038882256794E-4</v>
      </c>
      <c r="L871" s="3">
        <v>2</v>
      </c>
      <c r="N871" s="5">
        <v>870</v>
      </c>
    </row>
    <row r="872" spans="1:14" x14ac:dyDescent="0.25">
      <c r="A872" s="3" t="s">
        <v>1739</v>
      </c>
      <c r="B872" s="3" t="s">
        <v>672</v>
      </c>
      <c r="C872" s="3" t="s">
        <v>580</v>
      </c>
      <c r="G872" s="4">
        <v>2.390000000000001</v>
      </c>
      <c r="H872" s="30">
        <v>4.6408158853907134E-3</v>
      </c>
      <c r="I872" s="30">
        <v>4.6408158853907134E-3</v>
      </c>
      <c r="J872" s="3">
        <v>3.4893471403768905E-3</v>
      </c>
      <c r="K872" s="3">
        <v>5.2340207105653356E-3</v>
      </c>
      <c r="L872" s="3">
        <v>2</v>
      </c>
      <c r="N872" s="5">
        <v>871</v>
      </c>
    </row>
    <row r="873" spans="1:14" x14ac:dyDescent="0.25">
      <c r="A873" s="3" t="s">
        <v>1740</v>
      </c>
      <c r="B873" s="3" t="s">
        <v>673</v>
      </c>
      <c r="C873" s="3" t="s">
        <v>579</v>
      </c>
      <c r="G873" s="4">
        <v>0.1</v>
      </c>
      <c r="H873" s="30">
        <v>3.9487059862062714E-3</v>
      </c>
      <c r="I873" s="30">
        <v>3.9487059862062714E-3</v>
      </c>
      <c r="J873" s="3">
        <v>3.1589647889650172E-3</v>
      </c>
      <c r="K873" s="3">
        <v>4.7384471834475252E-3</v>
      </c>
      <c r="L873" s="3">
        <v>2</v>
      </c>
      <c r="N873" s="5">
        <v>872</v>
      </c>
    </row>
    <row r="874" spans="1:14" x14ac:dyDescent="0.25">
      <c r="A874" s="3" t="s">
        <v>1741</v>
      </c>
      <c r="B874" s="3" t="s">
        <v>579</v>
      </c>
      <c r="C874" s="3" t="s">
        <v>583</v>
      </c>
      <c r="G874" s="4">
        <v>23.339999999999989</v>
      </c>
      <c r="H874" s="30">
        <v>1.1061184450515871E-3</v>
      </c>
      <c r="I874" s="30">
        <v>1.1061184450515871E-3</v>
      </c>
      <c r="J874" s="3">
        <v>4.8949108876486026E-4</v>
      </c>
      <c r="K874" s="3">
        <v>7.3423663314729022E-4</v>
      </c>
      <c r="L874" s="3">
        <v>2</v>
      </c>
      <c r="N874" s="5">
        <v>873</v>
      </c>
    </row>
    <row r="875" spans="1:14" x14ac:dyDescent="0.25">
      <c r="A875" s="3" t="s">
        <v>1742</v>
      </c>
      <c r="B875" s="3" t="s">
        <v>583</v>
      </c>
      <c r="C875" s="3" t="s">
        <v>992</v>
      </c>
      <c r="G875" s="4">
        <v>15.83</v>
      </c>
      <c r="H875" s="30">
        <v>1.634464323563833E-3</v>
      </c>
      <c r="I875" s="30">
        <v>1.634464323563833E-3</v>
      </c>
      <c r="J875" s="3">
        <v>4.2676002778971279E-4</v>
      </c>
      <c r="K875" s="3">
        <v>6.4014004168456919E-4</v>
      </c>
      <c r="L875" s="3">
        <v>2</v>
      </c>
      <c r="N875" s="5">
        <v>874</v>
      </c>
    </row>
    <row r="876" spans="1:14" x14ac:dyDescent="0.25">
      <c r="A876" s="3" t="s">
        <v>1743</v>
      </c>
      <c r="B876" s="3" t="s">
        <v>992</v>
      </c>
      <c r="C876" s="3" t="s">
        <v>585</v>
      </c>
      <c r="G876" s="4">
        <v>21.63</v>
      </c>
      <c r="H876" s="30">
        <v>2.898265277861974E-3</v>
      </c>
      <c r="I876" s="30">
        <v>2.898265277861974E-3</v>
      </c>
      <c r="J876" s="3">
        <v>2.9348081335425274E-3</v>
      </c>
      <c r="K876" s="3">
        <v>4.4022122003137907E-3</v>
      </c>
      <c r="L876" s="3">
        <v>2</v>
      </c>
      <c r="N876" s="5">
        <v>875</v>
      </c>
    </row>
    <row r="877" spans="1:14" x14ac:dyDescent="0.25">
      <c r="A877" s="3" t="s">
        <v>1744</v>
      </c>
      <c r="B877" s="3" t="s">
        <v>584</v>
      </c>
      <c r="C877" s="3" t="s">
        <v>674</v>
      </c>
      <c r="G877" s="4">
        <v>1.8199999999999901</v>
      </c>
      <c r="H877" s="30">
        <v>1.5913568503270589E-3</v>
      </c>
      <c r="I877" s="30">
        <v>1.5913568503270589E-3</v>
      </c>
      <c r="J877" s="3">
        <v>7.2051378241192897E-4</v>
      </c>
      <c r="K877" s="3">
        <v>1.0807706736178934E-3</v>
      </c>
      <c r="L877" s="3">
        <v>2</v>
      </c>
      <c r="N877" s="5">
        <v>876</v>
      </c>
    </row>
    <row r="878" spans="1:14" x14ac:dyDescent="0.25">
      <c r="A878" s="3" t="s">
        <v>1745</v>
      </c>
      <c r="B878" s="3" t="s">
        <v>589</v>
      </c>
      <c r="C878" s="3" t="s">
        <v>969</v>
      </c>
      <c r="G878" s="4">
        <v>43.149999999999977</v>
      </c>
      <c r="H878" s="30">
        <v>3.6033733216008488E-3</v>
      </c>
      <c r="I878" s="30">
        <v>3.6033733216008488E-3</v>
      </c>
      <c r="J878" s="3">
        <f>I878*0.8</f>
        <v>2.882698657280679E-3</v>
      </c>
      <c r="K878" s="3">
        <f>I878*1.2</f>
        <v>4.3240479859210186E-3</v>
      </c>
      <c r="L878" s="3">
        <v>2</v>
      </c>
      <c r="N878" s="5">
        <v>877</v>
      </c>
    </row>
    <row r="879" spans="1:14" x14ac:dyDescent="0.25">
      <c r="A879" s="3" t="s">
        <v>1746</v>
      </c>
      <c r="B879" s="3" t="s">
        <v>558</v>
      </c>
      <c r="C879" s="3" t="s">
        <v>590</v>
      </c>
      <c r="G879" s="4">
        <v>0.1</v>
      </c>
      <c r="H879" s="30">
        <v>4.97193537892062E-3</v>
      </c>
      <c r="I879" s="30">
        <v>4.97193537892062E-3</v>
      </c>
      <c r="J879" s="3">
        <v>3.977548303136496E-3</v>
      </c>
      <c r="K879" s="3">
        <v>5.9663224547047439E-3</v>
      </c>
      <c r="L879" s="3">
        <v>2</v>
      </c>
      <c r="N879" s="5">
        <v>878</v>
      </c>
    </row>
    <row r="880" spans="1:14" x14ac:dyDescent="0.25">
      <c r="A880" s="3" t="s">
        <v>1747</v>
      </c>
      <c r="B880" s="3" t="s">
        <v>970</v>
      </c>
      <c r="C880" s="3" t="s">
        <v>768</v>
      </c>
      <c r="G880" s="4">
        <v>47.619999999999983</v>
      </c>
      <c r="H880" s="30">
        <v>1.876026071492713E-3</v>
      </c>
      <c r="I880" s="30">
        <v>1.876026071492713E-3</v>
      </c>
      <c r="J880" s="3">
        <v>2.9851194060818501E-3</v>
      </c>
      <c r="K880" s="3">
        <v>4.4776791091227742E-3</v>
      </c>
      <c r="L880" s="3">
        <v>2</v>
      </c>
      <c r="N880" s="5">
        <v>879</v>
      </c>
    </row>
    <row r="881" spans="1:14" x14ac:dyDescent="0.25">
      <c r="A881" s="3" t="s">
        <v>1748</v>
      </c>
      <c r="B881" s="3" t="s">
        <v>518</v>
      </c>
      <c r="C881" s="3" t="s">
        <v>962</v>
      </c>
      <c r="G881" s="4">
        <v>13.13</v>
      </c>
      <c r="H881" s="30">
        <v>8.011625126624379E-3</v>
      </c>
      <c r="I881" s="30">
        <v>8.011625126624379E-3</v>
      </c>
      <c r="J881" s="3">
        <v>4.6846074778384775E-3</v>
      </c>
      <c r="K881" s="3">
        <v>7.0269112167577162E-3</v>
      </c>
      <c r="L881" s="3">
        <v>2</v>
      </c>
      <c r="N881" s="5">
        <v>880</v>
      </c>
    </row>
    <row r="882" spans="1:14" x14ac:dyDescent="0.25">
      <c r="A882" s="3" t="s">
        <v>1749</v>
      </c>
      <c r="B882" s="3" t="s">
        <v>518</v>
      </c>
      <c r="C882" s="3" t="s">
        <v>974</v>
      </c>
      <c r="G882" s="4">
        <v>1.150000000000003</v>
      </c>
      <c r="H882" s="30">
        <v>1.1006319218230651E-3</v>
      </c>
      <c r="I882" s="30">
        <v>1.1006319218230651E-3</v>
      </c>
      <c r="J882" s="3">
        <v>8.8050553745845205E-4</v>
      </c>
      <c r="K882" s="3">
        <v>1.3207583061876781E-3</v>
      </c>
      <c r="L882" s="3">
        <v>2</v>
      </c>
      <c r="N882" s="5">
        <v>881</v>
      </c>
    </row>
    <row r="883" spans="1:14" x14ac:dyDescent="0.25">
      <c r="A883" s="3" t="s">
        <v>1750</v>
      </c>
      <c r="B883" s="3" t="s">
        <v>962</v>
      </c>
      <c r="C883" s="3" t="s">
        <v>993</v>
      </c>
      <c r="D883" s="3">
        <v>13.23</v>
      </c>
      <c r="E883" s="3">
        <v>13.23</v>
      </c>
      <c r="F883" s="3">
        <v>13.23</v>
      </c>
      <c r="G883" s="4">
        <v>13.23</v>
      </c>
      <c r="H883" s="30">
        <v>1.1435606715794789E-3</v>
      </c>
      <c r="I883" s="30">
        <v>1.1435606715794789E-3</v>
      </c>
      <c r="J883" s="3">
        <v>1.1241457236009929E-3</v>
      </c>
      <c r="K883" s="3">
        <v>1.6862185854014892E-3</v>
      </c>
      <c r="L883" s="3">
        <v>2</v>
      </c>
      <c r="N883" s="5">
        <v>882</v>
      </c>
    </row>
    <row r="884" spans="1:14" x14ac:dyDescent="0.25">
      <c r="A884" s="3" t="s">
        <v>1751</v>
      </c>
      <c r="B884" s="3" t="s">
        <v>994</v>
      </c>
      <c r="C884" s="3" t="s">
        <v>592</v>
      </c>
      <c r="G884" s="4">
        <v>0.1</v>
      </c>
      <c r="H884" s="30">
        <v>4.6553330356188909E-3</v>
      </c>
      <c r="I884" s="30">
        <v>4.6553330356188909E-3</v>
      </c>
      <c r="J884" s="3">
        <v>3.4411812882009073E-3</v>
      </c>
      <c r="K884" s="3">
        <v>5.1617719323013601E-3</v>
      </c>
      <c r="L884" s="3">
        <v>2</v>
      </c>
      <c r="N884" s="5">
        <v>883</v>
      </c>
    </row>
    <row r="885" spans="1:14" x14ac:dyDescent="0.25">
      <c r="A885" s="3" t="s">
        <v>1752</v>
      </c>
      <c r="B885" s="3" t="s">
        <v>994</v>
      </c>
      <c r="C885" s="3" t="s">
        <v>869</v>
      </c>
      <c r="G885" s="4">
        <v>1.2800000000000009</v>
      </c>
      <c r="H885" s="30">
        <v>6.1187905855517718E-3</v>
      </c>
      <c r="I885" s="30">
        <v>6.1187905855517718E-3</v>
      </c>
      <c r="J885" s="3">
        <v>4.8950324684414181E-3</v>
      </c>
      <c r="K885" s="3">
        <v>7.3425487026621255E-3</v>
      </c>
      <c r="L885" s="3">
        <v>2</v>
      </c>
      <c r="N885" s="5">
        <v>884</v>
      </c>
    </row>
    <row r="886" spans="1:14" x14ac:dyDescent="0.25">
      <c r="A886" s="3" t="s">
        <v>1753</v>
      </c>
      <c r="B886" s="3" t="s">
        <v>869</v>
      </c>
      <c r="C886" s="3" t="s">
        <v>594</v>
      </c>
      <c r="G886" s="4">
        <v>9.740000000000002</v>
      </c>
      <c r="H886" s="30">
        <v>7.6701828599821833E-4</v>
      </c>
      <c r="I886" s="30">
        <v>7.6701828599821833E-4</v>
      </c>
      <c r="J886" s="3">
        <v>3.8042171722463562E-4</v>
      </c>
      <c r="K886" s="3">
        <v>5.7063257583695338E-4</v>
      </c>
      <c r="L886" s="3">
        <v>2</v>
      </c>
      <c r="N886" s="5">
        <v>885</v>
      </c>
    </row>
    <row r="887" spans="1:14" x14ac:dyDescent="0.25">
      <c r="A887" s="3" t="s">
        <v>1754</v>
      </c>
      <c r="B887" s="3" t="s">
        <v>974</v>
      </c>
      <c r="C887" s="3" t="s">
        <v>995</v>
      </c>
      <c r="G887" s="4">
        <v>1.0500000000000029</v>
      </c>
      <c r="H887" s="30">
        <v>1.1041937909464269E-3</v>
      </c>
      <c r="I887" s="30">
        <v>1.1041937909464269E-3</v>
      </c>
      <c r="J887" s="3">
        <v>8.8335503275714156E-4</v>
      </c>
      <c r="K887" s="3">
        <v>1.3250325491357122E-3</v>
      </c>
      <c r="L887" s="3">
        <v>2</v>
      </c>
      <c r="N887" s="5">
        <v>886</v>
      </c>
    </row>
    <row r="888" spans="1:14" x14ac:dyDescent="0.25">
      <c r="A888" s="3" t="s">
        <v>1755</v>
      </c>
      <c r="B888" s="3" t="s">
        <v>996</v>
      </c>
      <c r="C888" s="3" t="s">
        <v>610</v>
      </c>
      <c r="G888" s="4">
        <v>0.1</v>
      </c>
      <c r="H888" s="30">
        <v>6.8592288159149894E-3</v>
      </c>
      <c r="I888" s="30">
        <v>6.8592288159149894E-3</v>
      </c>
      <c r="J888" s="3">
        <v>7.1408211388883482E-3</v>
      </c>
      <c r="K888" s="3">
        <v>1.0711231708332521E-2</v>
      </c>
      <c r="L888" s="3">
        <v>2</v>
      </c>
      <c r="N888" s="5">
        <v>887</v>
      </c>
    </row>
    <row r="889" spans="1:14" x14ac:dyDescent="0.25">
      <c r="A889" s="3" t="s">
        <v>1756</v>
      </c>
      <c r="B889" s="3" t="s">
        <v>997</v>
      </c>
      <c r="C889" s="3" t="s">
        <v>594</v>
      </c>
      <c r="G889" s="4">
        <v>5.82</v>
      </c>
      <c r="H889" s="30">
        <v>6.240040718487311E-3</v>
      </c>
      <c r="I889" s="30">
        <v>6.240040718487311E-3</v>
      </c>
      <c r="J889" s="3">
        <v>3.1200203592436555E-3</v>
      </c>
      <c r="K889" s="3">
        <v>1.5168702825029908E-2</v>
      </c>
      <c r="L889" s="3">
        <v>2</v>
      </c>
      <c r="N889" s="5">
        <v>888</v>
      </c>
    </row>
    <row r="890" spans="1:14" x14ac:dyDescent="0.25">
      <c r="A890" s="3" t="s">
        <v>1757</v>
      </c>
      <c r="B890" s="3" t="s">
        <v>997</v>
      </c>
      <c r="C890" s="3" t="s">
        <v>596</v>
      </c>
      <c r="G890" s="4">
        <v>0.1</v>
      </c>
      <c r="H890" s="30">
        <v>4.6679528098189649E-3</v>
      </c>
      <c r="I890" s="30">
        <v>4.6679528098189649E-3</v>
      </c>
      <c r="J890" s="3">
        <v>3.4203468549666091E-3</v>
      </c>
      <c r="K890" s="3">
        <v>5.1305202824499137E-3</v>
      </c>
      <c r="L890" s="3">
        <v>2</v>
      </c>
      <c r="N890" s="5">
        <v>889</v>
      </c>
    </row>
    <row r="891" spans="1:14" x14ac:dyDescent="0.25">
      <c r="A891" s="3" t="s">
        <v>1758</v>
      </c>
      <c r="B891" s="3" t="s">
        <v>597</v>
      </c>
      <c r="C891" s="3" t="s">
        <v>998</v>
      </c>
      <c r="G891" s="4">
        <v>10.169999999999989</v>
      </c>
      <c r="H891" s="30">
        <v>1.5929369182686309E-2</v>
      </c>
      <c r="I891" s="30">
        <v>1.5929369182686309E-2</v>
      </c>
      <c r="J891" s="3">
        <v>6.9393357569862953E-3</v>
      </c>
      <c r="K891" s="3">
        <v>1.0409003635479442E-2</v>
      </c>
      <c r="L891" s="3">
        <v>2</v>
      </c>
      <c r="N891" s="5">
        <v>890</v>
      </c>
    </row>
    <row r="892" spans="1:14" x14ac:dyDescent="0.25">
      <c r="A892" s="3" t="s">
        <v>1759</v>
      </c>
      <c r="B892" s="3" t="s">
        <v>998</v>
      </c>
      <c r="C892" s="3" t="s">
        <v>758</v>
      </c>
      <c r="G892" s="4">
        <v>10.06999999999999</v>
      </c>
      <c r="H892" s="30">
        <v>1.578642761673781E-3</v>
      </c>
      <c r="I892" s="30">
        <v>1.578642761673781E-3</v>
      </c>
      <c r="J892" s="3">
        <v>1.2629142093390248E-3</v>
      </c>
      <c r="K892" s="3">
        <v>1.8943713140085372E-3</v>
      </c>
      <c r="L892" s="3">
        <v>2</v>
      </c>
      <c r="N892" s="5">
        <v>891</v>
      </c>
    </row>
    <row r="893" spans="1:14" x14ac:dyDescent="0.25">
      <c r="A893" s="3" t="s">
        <v>1760</v>
      </c>
      <c r="B893" s="3" t="s">
        <v>998</v>
      </c>
      <c r="C893" s="3" t="s">
        <v>796</v>
      </c>
      <c r="G893" s="4">
        <v>0.1</v>
      </c>
      <c r="H893" s="30">
        <v>1.5547136880009031E-2</v>
      </c>
      <c r="I893" s="30">
        <v>1.5547136880009031E-2</v>
      </c>
      <c r="J893" s="3">
        <v>7.7834720728826041E-3</v>
      </c>
      <c r="K893" s="3">
        <v>1.1675208109323905E-2</v>
      </c>
      <c r="L893" s="3">
        <v>2</v>
      </c>
      <c r="N893" s="5">
        <v>892</v>
      </c>
    </row>
    <row r="894" spans="1:14" x14ac:dyDescent="0.25">
      <c r="A894" s="3" t="s">
        <v>1761</v>
      </c>
      <c r="B894" s="3" t="s">
        <v>999</v>
      </c>
      <c r="C894" s="3" t="s">
        <v>598</v>
      </c>
      <c r="G894" s="4">
        <v>4.0699999999999967</v>
      </c>
      <c r="H894" s="30">
        <v>4.4249658763684391E-3</v>
      </c>
      <c r="I894" s="30">
        <v>4.4249658763684391E-3</v>
      </c>
      <c r="J894" s="3">
        <v>3.2694115784259593E-3</v>
      </c>
      <c r="K894" s="3">
        <v>4.9041173676389388E-3</v>
      </c>
      <c r="L894" s="3">
        <v>2</v>
      </c>
      <c r="N894" s="5">
        <v>893</v>
      </c>
    </row>
    <row r="895" spans="1:14" x14ac:dyDescent="0.25">
      <c r="A895" s="3" t="s">
        <v>1762</v>
      </c>
      <c r="B895" s="3" t="s">
        <v>595</v>
      </c>
      <c r="C895" s="3" t="s">
        <v>999</v>
      </c>
      <c r="G895" s="4">
        <v>3.1499999999999968</v>
      </c>
      <c r="H895" s="30">
        <v>6.5439335221796841E-3</v>
      </c>
      <c r="I895" s="30">
        <v>6.5439335221796841E-3</v>
      </c>
      <c r="J895" s="3">
        <v>2.6540934861284792E-3</v>
      </c>
      <c r="K895" s="3">
        <v>3.9811402291927188E-3</v>
      </c>
      <c r="L895" s="3">
        <v>2</v>
      </c>
      <c r="N895" s="5">
        <v>894</v>
      </c>
    </row>
    <row r="896" spans="1:14" x14ac:dyDescent="0.25">
      <c r="A896" s="3" t="s">
        <v>1763</v>
      </c>
      <c r="B896" s="3" t="s">
        <v>1000</v>
      </c>
      <c r="C896" s="3" t="s">
        <v>601</v>
      </c>
      <c r="G896" s="4">
        <v>1.9899999999999931</v>
      </c>
      <c r="H896" s="30">
        <v>6.7297811009042422E-3</v>
      </c>
      <c r="I896" s="30">
        <v>6.7297811009042422E-3</v>
      </c>
      <c r="J896" s="3">
        <v>3.3648905504521211E-3</v>
      </c>
      <c r="K896" s="3">
        <v>6.297126894482262E-2</v>
      </c>
      <c r="L896" s="3">
        <v>2</v>
      </c>
      <c r="N896" s="5">
        <v>895</v>
      </c>
    </row>
    <row r="897" spans="1:14" x14ac:dyDescent="0.25">
      <c r="A897" s="3" t="s">
        <v>1764</v>
      </c>
      <c r="B897" s="3" t="s">
        <v>1000</v>
      </c>
      <c r="C897" s="3" t="s">
        <v>599</v>
      </c>
      <c r="G897" s="4">
        <v>0.43</v>
      </c>
      <c r="H897" s="30">
        <v>4.3068535104441854E-3</v>
      </c>
      <c r="I897" s="30">
        <v>4.3068535104441854E-3</v>
      </c>
      <c r="J897" s="3">
        <v>3.4454828083553485E-3</v>
      </c>
      <c r="K897" s="3">
        <v>5.1682242125330223E-3</v>
      </c>
      <c r="L897" s="3">
        <v>2</v>
      </c>
      <c r="N897" s="5">
        <v>896</v>
      </c>
    </row>
    <row r="898" spans="1:14" x14ac:dyDescent="0.25">
      <c r="A898" s="3" t="s">
        <v>1765</v>
      </c>
      <c r="B898" s="3" t="s">
        <v>1001</v>
      </c>
      <c r="C898" s="3" t="s">
        <v>603</v>
      </c>
      <c r="G898" s="4">
        <v>4.1900000000000013</v>
      </c>
      <c r="H898" s="30">
        <v>3.316299414235026E-3</v>
      </c>
      <c r="I898" s="30">
        <v>3.316299414235026E-3</v>
      </c>
      <c r="J898" s="3">
        <v>5.5949796286951601E-3</v>
      </c>
      <c r="K898" s="3">
        <v>8.3924694430427393E-3</v>
      </c>
      <c r="L898" s="3">
        <v>2</v>
      </c>
      <c r="N898" s="5">
        <v>897</v>
      </c>
    </row>
    <row r="899" spans="1:14" x14ac:dyDescent="0.25">
      <c r="A899" s="3" t="s">
        <v>1766</v>
      </c>
      <c r="B899" s="3" t="s">
        <v>602</v>
      </c>
      <c r="C899" s="3" t="s">
        <v>1001</v>
      </c>
      <c r="G899" s="4">
        <v>0.1</v>
      </c>
      <c r="H899" s="30">
        <v>7.7444286449403852E-3</v>
      </c>
      <c r="I899" s="30">
        <v>7.7444286449403852E-3</v>
      </c>
      <c r="J899" s="3">
        <v>6.1335030623098042E-3</v>
      </c>
      <c r="K899" s="3">
        <v>9.2002545934647059E-3</v>
      </c>
      <c r="L899" s="3">
        <v>2</v>
      </c>
      <c r="N899" s="5">
        <v>898</v>
      </c>
    </row>
    <row r="900" spans="1:14" x14ac:dyDescent="0.25">
      <c r="A900" s="3" t="s">
        <v>1767</v>
      </c>
      <c r="B900" s="3" t="s">
        <v>1002</v>
      </c>
      <c r="C900" s="3" t="s">
        <v>606</v>
      </c>
      <c r="G900" s="4">
        <v>0.1</v>
      </c>
      <c r="H900" s="30">
        <v>7.9383738334635971E-3</v>
      </c>
      <c r="I900" s="30">
        <v>7.9383738334635971E-3</v>
      </c>
      <c r="J900" s="3">
        <v>6.3506990667708783E-3</v>
      </c>
      <c r="K900" s="3">
        <v>9.5260486001563158E-3</v>
      </c>
      <c r="L900" s="3">
        <v>2</v>
      </c>
      <c r="N900" s="5">
        <v>899</v>
      </c>
    </row>
    <row r="901" spans="1:14" x14ac:dyDescent="0.25">
      <c r="A901" s="3" t="s">
        <v>1768</v>
      </c>
      <c r="B901" s="3" t="s">
        <v>1002</v>
      </c>
      <c r="C901" s="3" t="s">
        <v>608</v>
      </c>
      <c r="G901" s="4">
        <v>2.0899999999999959</v>
      </c>
      <c r="H901" s="30">
        <v>3.2335084016978711E-3</v>
      </c>
      <c r="I901" s="30">
        <v>3.2335084016978711E-3</v>
      </c>
      <c r="J901" s="3">
        <f>I901*0.1</f>
        <v>3.2335084016978712E-4</v>
      </c>
      <c r="K901" s="3">
        <f>I901*10</f>
        <v>3.233508401697871E-2</v>
      </c>
      <c r="L901" s="3">
        <v>2</v>
      </c>
      <c r="N901" s="5">
        <v>900</v>
      </c>
    </row>
    <row r="902" spans="1:14" x14ac:dyDescent="0.25">
      <c r="A902" s="3" t="s">
        <v>1769</v>
      </c>
      <c r="B902" s="3" t="s">
        <v>996</v>
      </c>
      <c r="C902" s="3" t="s">
        <v>609</v>
      </c>
      <c r="G902" s="4">
        <v>0.1</v>
      </c>
      <c r="H902" s="30">
        <v>4.2301946336361224E-3</v>
      </c>
      <c r="I902" s="30">
        <v>4.2301946336361224E-3</v>
      </c>
      <c r="J902" s="3">
        <v>3.384155706908898E-3</v>
      </c>
      <c r="K902" s="3">
        <v>5.0762335603633463E-3</v>
      </c>
      <c r="L902" s="3">
        <v>2</v>
      </c>
      <c r="N902" s="5">
        <v>901</v>
      </c>
    </row>
    <row r="903" spans="1:14" x14ac:dyDescent="0.25">
      <c r="A903" s="3" t="s">
        <v>1770</v>
      </c>
      <c r="B903" s="3" t="s">
        <v>609</v>
      </c>
      <c r="C903" s="3" t="s">
        <v>612</v>
      </c>
      <c r="G903" s="4">
        <v>17.44250000000002</v>
      </c>
      <c r="H903" s="30">
        <v>1.024704100737723E-3</v>
      </c>
      <c r="I903" s="30">
        <v>1.024704100737723E-3</v>
      </c>
      <c r="J903" s="3">
        <f>I903*0.8</f>
        <v>8.1976328059017852E-4</v>
      </c>
      <c r="K903" s="3">
        <f>I903*1.2</f>
        <v>1.2296449208852676E-3</v>
      </c>
      <c r="L903" s="3">
        <v>2</v>
      </c>
      <c r="N903" s="5">
        <v>902</v>
      </c>
    </row>
    <row r="904" spans="1:14" x14ac:dyDescent="0.25">
      <c r="A904" s="3" t="s">
        <v>1771</v>
      </c>
      <c r="B904" s="3" t="s">
        <v>1003</v>
      </c>
      <c r="C904" s="3" t="s">
        <v>612</v>
      </c>
      <c r="G904" s="4">
        <v>0.78749999999996845</v>
      </c>
      <c r="H904" s="30">
        <v>4.5225485170854252E-3</v>
      </c>
      <c r="I904" s="30">
        <v>4.5225485170854252E-3</v>
      </c>
      <c r="J904" s="3">
        <v>3.3176355452400547E-3</v>
      </c>
      <c r="K904" s="3">
        <v>2.1340003979837624E-2</v>
      </c>
      <c r="L904" s="3">
        <v>2</v>
      </c>
      <c r="N904" s="5">
        <v>903</v>
      </c>
    </row>
    <row r="905" spans="1:14" x14ac:dyDescent="0.25">
      <c r="A905" s="3" t="s">
        <v>1772</v>
      </c>
      <c r="B905" s="3" t="s">
        <v>1003</v>
      </c>
      <c r="C905" s="3" t="s">
        <v>611</v>
      </c>
      <c r="G905" s="4">
        <v>2.6125000000000278</v>
      </c>
      <c r="H905" s="30">
        <v>6.5839452868201353E-3</v>
      </c>
      <c r="I905" s="30">
        <v>6.5839452868201353E-3</v>
      </c>
      <c r="J905" s="3">
        <v>6.5507938174480772E-3</v>
      </c>
      <c r="K905" s="3">
        <v>9.826190726172114E-3</v>
      </c>
      <c r="L905" s="3">
        <v>2</v>
      </c>
      <c r="N905" s="5">
        <v>904</v>
      </c>
    </row>
    <row r="906" spans="1:14" x14ac:dyDescent="0.25">
      <c r="A906" s="3" t="s">
        <v>1773</v>
      </c>
      <c r="B906" s="3" t="s">
        <v>611</v>
      </c>
      <c r="C906" s="3" t="s">
        <v>613</v>
      </c>
      <c r="D906" s="3">
        <v>26.58</v>
      </c>
      <c r="E906" s="3">
        <v>26.58</v>
      </c>
      <c r="F906" s="3">
        <v>26.58</v>
      </c>
      <c r="G906" s="4">
        <v>26.58</v>
      </c>
      <c r="H906" s="30">
        <v>6.6683317267602889E-4</v>
      </c>
      <c r="I906" s="30">
        <v>6.6683317267602889E-4</v>
      </c>
      <c r="J906" s="3">
        <v>1.6157167157089395E-4</v>
      </c>
      <c r="K906" s="3">
        <v>2.4235750735634087E-4</v>
      </c>
      <c r="L906" s="3">
        <v>2</v>
      </c>
      <c r="N906" s="5">
        <v>905</v>
      </c>
    </row>
    <row r="907" spans="1:14" x14ac:dyDescent="0.25">
      <c r="A907" s="3" t="s">
        <v>1774</v>
      </c>
      <c r="B907" s="3" t="s">
        <v>655</v>
      </c>
      <c r="C907" s="3" t="s">
        <v>591</v>
      </c>
      <c r="G907" s="4">
        <v>0.94999999999999563</v>
      </c>
      <c r="H907" s="30">
        <v>4.4936440178298901E-3</v>
      </c>
      <c r="I907" s="30">
        <v>4.4936440178298901E-3</v>
      </c>
      <c r="J907" s="3">
        <f>I907*0.1</f>
        <v>4.4936440178298904E-4</v>
      </c>
      <c r="K907" s="3">
        <f>I907*10</f>
        <v>4.4936440178298898E-2</v>
      </c>
      <c r="L907" s="3">
        <v>2</v>
      </c>
      <c r="N907" s="5">
        <v>906</v>
      </c>
    </row>
    <row r="908" spans="1:14" x14ac:dyDescent="0.25">
      <c r="A908" s="3" t="s">
        <v>1775</v>
      </c>
      <c r="B908" s="3" t="s">
        <v>1004</v>
      </c>
      <c r="C908" s="3" t="s">
        <v>616</v>
      </c>
      <c r="G908" s="4">
        <v>0.1</v>
      </c>
      <c r="H908" s="30">
        <v>3.6989863613805692E-3</v>
      </c>
      <c r="I908" s="30">
        <v>3.6989863613805692E-3</v>
      </c>
      <c r="J908" s="3">
        <v>1.8494931806902846E-3</v>
      </c>
      <c r="K908" s="3">
        <v>7.3979727227611383E-3</v>
      </c>
      <c r="L908" s="3">
        <v>2</v>
      </c>
      <c r="N908" s="5">
        <v>907</v>
      </c>
    </row>
    <row r="909" spans="1:14" x14ac:dyDescent="0.25">
      <c r="A909" s="3" t="s">
        <v>1776</v>
      </c>
      <c r="B909" s="3" t="s">
        <v>1004</v>
      </c>
      <c r="C909" s="3" t="s">
        <v>618</v>
      </c>
      <c r="G909" s="4">
        <v>0.89999999999999858</v>
      </c>
      <c r="H909" s="30">
        <v>7.2745920834739047E-3</v>
      </c>
      <c r="I909" s="30">
        <v>7.2745920834739047E-3</v>
      </c>
      <c r="J909" s="3">
        <v>5.8196736667791241E-3</v>
      </c>
      <c r="K909" s="3">
        <v>8.7295105001686853E-3</v>
      </c>
      <c r="L909" s="3">
        <v>2</v>
      </c>
      <c r="N909" s="5">
        <v>908</v>
      </c>
    </row>
    <row r="910" spans="1:14" x14ac:dyDescent="0.25">
      <c r="A910" s="3" t="s">
        <v>1777</v>
      </c>
      <c r="B910" s="3" t="s">
        <v>619</v>
      </c>
      <c r="C910" s="3" t="s">
        <v>1005</v>
      </c>
      <c r="G910" s="4">
        <v>0.35999999999999488</v>
      </c>
      <c r="H910" s="30">
        <v>7.2775875538669023E-3</v>
      </c>
      <c r="I910" s="30">
        <v>7.2775875538669023E-3</v>
      </c>
      <c r="J910" s="3">
        <v>5.8220700430935222E-3</v>
      </c>
      <c r="K910" s="3">
        <v>8.7331050646402824E-3</v>
      </c>
      <c r="L910" s="3">
        <v>2</v>
      </c>
      <c r="N910" s="5">
        <v>909</v>
      </c>
    </row>
    <row r="911" spans="1:14" x14ac:dyDescent="0.25">
      <c r="A911" s="3" t="s">
        <v>1778</v>
      </c>
      <c r="B911" s="3" t="s">
        <v>1005</v>
      </c>
      <c r="C911" s="3" t="s">
        <v>617</v>
      </c>
      <c r="G911" s="4">
        <v>0.7900000000000017</v>
      </c>
      <c r="H911" s="30">
        <v>3.7308138540291069E-3</v>
      </c>
      <c r="I911" s="30">
        <v>3.7308138540291069E-3</v>
      </c>
      <c r="J911" s="3">
        <v>2.9846510832232855E-3</v>
      </c>
      <c r="K911" s="3">
        <v>4.4769766248349283E-3</v>
      </c>
      <c r="L911" s="3">
        <v>2</v>
      </c>
      <c r="N911" s="5">
        <v>910</v>
      </c>
    </row>
    <row r="912" spans="1:14" x14ac:dyDescent="0.25">
      <c r="A912" s="3" t="s">
        <v>1779</v>
      </c>
      <c r="B912" s="3" t="s">
        <v>1006</v>
      </c>
      <c r="C912" s="3" t="s">
        <v>621</v>
      </c>
      <c r="G912" s="4">
        <v>0.1</v>
      </c>
      <c r="H912" s="30">
        <v>3.7418754561848399E-3</v>
      </c>
      <c r="I912" s="30">
        <v>3.7418754561848399E-3</v>
      </c>
      <c r="J912" s="3">
        <v>1.8709377280924199E-3</v>
      </c>
      <c r="K912" s="3">
        <v>7.4837509123696798E-3</v>
      </c>
      <c r="L912" s="3">
        <v>2</v>
      </c>
      <c r="N912" s="5">
        <v>911</v>
      </c>
    </row>
    <row r="913" spans="1:14" x14ac:dyDescent="0.25">
      <c r="A913" s="3" t="s">
        <v>1780</v>
      </c>
      <c r="B913" s="3" t="s">
        <v>1006</v>
      </c>
      <c r="C913" s="3" t="s">
        <v>623</v>
      </c>
      <c r="G913" s="4">
        <v>2.2099999999999942</v>
      </c>
      <c r="H913" s="30">
        <v>7.2701062613404303E-3</v>
      </c>
      <c r="I913" s="30">
        <v>7.2701062613404303E-3</v>
      </c>
      <c r="J913" s="3">
        <v>5.8160850090723448E-3</v>
      </c>
      <c r="K913" s="3">
        <v>8.7241275136085168E-3</v>
      </c>
      <c r="L913" s="3">
        <v>2</v>
      </c>
      <c r="N913" s="5">
        <v>912</v>
      </c>
    </row>
    <row r="914" spans="1:14" x14ac:dyDescent="0.25">
      <c r="A914" s="3" t="s">
        <v>1781</v>
      </c>
      <c r="B914" s="3" t="s">
        <v>1007</v>
      </c>
      <c r="C914" s="3" t="s">
        <v>624</v>
      </c>
      <c r="G914" s="4">
        <v>2.8099999999999992</v>
      </c>
      <c r="H914" s="30">
        <v>5.282868187813824E-3</v>
      </c>
      <c r="I914" s="30">
        <v>5.282868187813824E-3</v>
      </c>
      <c r="J914" s="3">
        <v>4.2262945502510594E-3</v>
      </c>
      <c r="K914" s="3">
        <v>6.3394418253765886E-3</v>
      </c>
      <c r="L914" s="3">
        <v>2</v>
      </c>
      <c r="N914" s="5">
        <v>913</v>
      </c>
    </row>
    <row r="915" spans="1:14" x14ac:dyDescent="0.25">
      <c r="A915" s="3" t="s">
        <v>1782</v>
      </c>
      <c r="B915" s="3" t="s">
        <v>1007</v>
      </c>
      <c r="C915" s="3" t="s">
        <v>622</v>
      </c>
      <c r="G915" s="4">
        <v>1.519999999999998</v>
      </c>
      <c r="H915" s="30">
        <v>2.7877245990063711E-3</v>
      </c>
      <c r="I915" s="30">
        <v>2.7877245990063711E-3</v>
      </c>
      <c r="J915" s="3">
        <v>8.8044293434256485E-4</v>
      </c>
      <c r="K915" s="3">
        <v>1.3206644015138472E-3</v>
      </c>
      <c r="L915" s="3">
        <v>2</v>
      </c>
      <c r="N915" s="5">
        <v>914</v>
      </c>
    </row>
    <row r="916" spans="1:14" x14ac:dyDescent="0.25">
      <c r="A916" s="3" t="s">
        <v>1783</v>
      </c>
      <c r="B916" s="3" t="s">
        <v>622</v>
      </c>
      <c r="C916" s="3" t="s">
        <v>626</v>
      </c>
      <c r="D916" s="3">
        <v>21.89</v>
      </c>
      <c r="E916" s="3">
        <v>21.89</v>
      </c>
      <c r="F916" s="3">
        <v>21.89</v>
      </c>
      <c r="G916" s="4">
        <v>21.89</v>
      </c>
      <c r="H916" s="30">
        <v>6.9486167335141083E-4</v>
      </c>
      <c r="I916" s="30">
        <v>6.9486167335141083E-4</v>
      </c>
      <c r="J916" s="3">
        <v>9.3427751861885453E-4</v>
      </c>
      <c r="K916" s="3">
        <v>1.4014162779282817E-3</v>
      </c>
      <c r="L916" s="3">
        <v>2</v>
      </c>
      <c r="N916" s="5">
        <v>915</v>
      </c>
    </row>
    <row r="917" spans="1:14" x14ac:dyDescent="0.25">
      <c r="A917" s="3" t="s">
        <v>1784</v>
      </c>
      <c r="B917" s="3" t="s">
        <v>1008</v>
      </c>
      <c r="C917" s="3" t="s">
        <v>626</v>
      </c>
      <c r="G917" s="4">
        <v>2.79</v>
      </c>
      <c r="H917" s="30">
        <v>3.2166310961368491E-3</v>
      </c>
      <c r="I917" s="30">
        <v>3.2166310961368491E-3</v>
      </c>
      <c r="J917" s="3">
        <f>I917*0.1</f>
        <v>3.2166310961368491E-4</v>
      </c>
      <c r="K917" s="3">
        <f>I917*10</f>
        <v>3.2166310961368488E-2</v>
      </c>
      <c r="L917" s="3">
        <v>2</v>
      </c>
      <c r="N917" s="5">
        <v>916</v>
      </c>
    </row>
    <row r="918" spans="1:14" x14ac:dyDescent="0.25">
      <c r="A918" s="3" t="s">
        <v>1785</v>
      </c>
      <c r="B918" s="3" t="s">
        <v>1008</v>
      </c>
      <c r="C918" s="3" t="s">
        <v>628</v>
      </c>
      <c r="G918" s="4">
        <v>0.1</v>
      </c>
      <c r="H918" s="30">
        <v>6.3292279146153086E-3</v>
      </c>
      <c r="I918" s="30">
        <v>6.3292279146153086E-3</v>
      </c>
      <c r="J918" s="3">
        <v>5.0633823316922474E-3</v>
      </c>
      <c r="K918" s="3">
        <v>7.5950734975383698E-3</v>
      </c>
      <c r="L918" s="3">
        <v>2</v>
      </c>
      <c r="N918" s="5">
        <v>917</v>
      </c>
    </row>
    <row r="919" spans="1:14" x14ac:dyDescent="0.25">
      <c r="A919" s="3" t="s">
        <v>1786</v>
      </c>
      <c r="B919" s="3" t="s">
        <v>1009</v>
      </c>
      <c r="C919" s="3" t="s">
        <v>624</v>
      </c>
      <c r="G919" s="4">
        <v>19.07</v>
      </c>
      <c r="H919" s="30">
        <v>4.5912148372495062E-2</v>
      </c>
      <c r="I919" s="30">
        <v>4.5912148372495062E-2</v>
      </c>
      <c r="J919" s="3">
        <v>6.4082173979398846E-2</v>
      </c>
      <c r="K919" s="3">
        <v>9.6123260969098276E-2</v>
      </c>
      <c r="L919" s="3">
        <v>2</v>
      </c>
      <c r="N919" s="5">
        <v>918</v>
      </c>
    </row>
    <row r="920" spans="1:14" x14ac:dyDescent="0.25">
      <c r="A920" s="3" t="s">
        <v>1787</v>
      </c>
      <c r="B920" s="3" t="s">
        <v>1010</v>
      </c>
      <c r="C920" s="3" t="s">
        <v>632</v>
      </c>
      <c r="G920" s="4">
        <v>1.3324999999999929</v>
      </c>
      <c r="H920" s="30">
        <v>5.9731548620612293E-3</v>
      </c>
      <c r="I920" s="30">
        <v>5.9731548620612293E-3</v>
      </c>
      <c r="J920" s="3">
        <v>4.7785238896489836E-3</v>
      </c>
      <c r="K920" s="3">
        <v>7.167785834473475E-3</v>
      </c>
      <c r="L920" s="3">
        <v>2</v>
      </c>
      <c r="N920" s="5">
        <v>919</v>
      </c>
    </row>
    <row r="921" spans="1:14" x14ac:dyDescent="0.25">
      <c r="A921" s="3" t="s">
        <v>1788</v>
      </c>
      <c r="B921" s="3" t="s">
        <v>1010</v>
      </c>
      <c r="C921" s="3" t="s">
        <v>634</v>
      </c>
      <c r="G921" s="4">
        <v>0.1</v>
      </c>
      <c r="H921" s="30">
        <v>3.573013043447263E-3</v>
      </c>
      <c r="I921" s="30">
        <v>3.573013043447263E-3</v>
      </c>
      <c r="J921" s="3">
        <v>1.88188216311058E-3</v>
      </c>
      <c r="K921" s="3">
        <v>2.8228232446658699E-3</v>
      </c>
      <c r="L921" s="3">
        <v>2</v>
      </c>
      <c r="N921" s="5">
        <v>920</v>
      </c>
    </row>
    <row r="922" spans="1:14" x14ac:dyDescent="0.25">
      <c r="A922" s="3" t="s">
        <v>1789</v>
      </c>
      <c r="B922" s="3" t="s">
        <v>631</v>
      </c>
      <c r="C922" s="3" t="s">
        <v>636</v>
      </c>
      <c r="G922" s="4">
        <v>3.96</v>
      </c>
      <c r="H922" s="30">
        <v>3.234968656463299E-3</v>
      </c>
      <c r="I922" s="30">
        <v>3.234968656463299E-3</v>
      </c>
      <c r="J922" s="3">
        <v>4.1068706040140119E-3</v>
      </c>
      <c r="K922" s="3">
        <v>6.1603059060210174E-3</v>
      </c>
      <c r="L922" s="3">
        <v>2</v>
      </c>
      <c r="N922" s="5">
        <v>921</v>
      </c>
    </row>
    <row r="923" spans="1:14" x14ac:dyDescent="0.25">
      <c r="A923" s="3" t="s">
        <v>1790</v>
      </c>
      <c r="B923" s="3" t="s">
        <v>656</v>
      </c>
      <c r="C923" s="3" t="s">
        <v>635</v>
      </c>
      <c r="G923" s="4">
        <v>0.2899999999999977</v>
      </c>
      <c r="H923" s="30">
        <v>2.062544925880096E-3</v>
      </c>
      <c r="I923" s="30">
        <v>2.062544925880096E-3</v>
      </c>
      <c r="J923" s="3">
        <v>3.0232300077800011E-3</v>
      </c>
      <c r="K923" s="3">
        <v>4.5348450116700009E-3</v>
      </c>
      <c r="L923" s="3">
        <v>2</v>
      </c>
      <c r="N923" s="5">
        <v>922</v>
      </c>
    </row>
    <row r="924" spans="1:14" x14ac:dyDescent="0.25">
      <c r="A924" s="3" t="s">
        <v>1791</v>
      </c>
      <c r="B924" s="3" t="s">
        <v>639</v>
      </c>
      <c r="C924" s="3" t="s">
        <v>657</v>
      </c>
      <c r="G924" s="4">
        <v>2.802499999999998</v>
      </c>
      <c r="H924" s="30">
        <v>2.8889952716050719E-3</v>
      </c>
      <c r="I924" s="30">
        <v>2.8889952716050719E-3</v>
      </c>
      <c r="J924" s="3">
        <v>1.4444976358025359E-3</v>
      </c>
      <c r="K924" s="3">
        <v>5.7779905432101437E-3</v>
      </c>
      <c r="L924" s="3">
        <v>2</v>
      </c>
      <c r="N924" s="5">
        <v>923</v>
      </c>
    </row>
    <row r="925" spans="1:14" x14ac:dyDescent="0.25">
      <c r="A925" s="3" t="s">
        <v>1792</v>
      </c>
      <c r="B925" s="3" t="s">
        <v>642</v>
      </c>
      <c r="C925" s="3" t="s">
        <v>647</v>
      </c>
      <c r="G925" s="4">
        <v>42.82</v>
      </c>
      <c r="H925" s="30">
        <v>8.1601563024178455E-4</v>
      </c>
      <c r="I925" s="30">
        <v>8.1601563024178455E-4</v>
      </c>
      <c r="J925" s="3">
        <v>7.6666259672465877E-7</v>
      </c>
      <c r="K925" s="3">
        <f>I925*1.2</f>
        <v>9.7921875629014142E-4</v>
      </c>
      <c r="L925" s="3">
        <v>2</v>
      </c>
      <c r="N925" s="5">
        <v>924</v>
      </c>
    </row>
    <row r="926" spans="1:14" x14ac:dyDescent="0.25">
      <c r="A926" s="3" t="s">
        <v>1793</v>
      </c>
      <c r="B926" s="3" t="s">
        <v>640</v>
      </c>
      <c r="C926" s="3" t="s">
        <v>645</v>
      </c>
      <c r="D926" s="3">
        <v>27.82</v>
      </c>
      <c r="E926" s="3">
        <v>27.82</v>
      </c>
      <c r="F926" s="3">
        <v>27.82</v>
      </c>
      <c r="G926" s="4">
        <v>27.82</v>
      </c>
      <c r="H926" s="30">
        <v>6.2556183252958711E-4</v>
      </c>
      <c r="I926" s="30">
        <v>6.2556183252958711E-4</v>
      </c>
      <c r="J926" s="3">
        <v>3.4610247808795658E-4</v>
      </c>
      <c r="K926" s="3">
        <v>5.1915371713193484E-4</v>
      </c>
      <c r="L926" s="3">
        <v>2</v>
      </c>
      <c r="N926" s="5">
        <v>925</v>
      </c>
    </row>
    <row r="927" spans="1:14" x14ac:dyDescent="0.25">
      <c r="A927" s="3" t="s">
        <v>1794</v>
      </c>
      <c r="B927" s="3" t="s">
        <v>1011</v>
      </c>
      <c r="C927" s="3" t="s">
        <v>643</v>
      </c>
      <c r="G927" s="4">
        <v>0.1</v>
      </c>
      <c r="H927" s="30">
        <v>2.9315320351274419E-3</v>
      </c>
      <c r="I927" s="30">
        <v>2.9315320351274419E-3</v>
      </c>
      <c r="J927" s="3">
        <v>2.3452256281019535E-3</v>
      </c>
      <c r="K927" s="3">
        <v>3.5178384421529303E-3</v>
      </c>
      <c r="L927" s="3">
        <v>2</v>
      </c>
      <c r="N927" s="5">
        <v>926</v>
      </c>
    </row>
    <row r="928" spans="1:14" x14ac:dyDescent="0.25">
      <c r="A928" s="3" t="s">
        <v>1795</v>
      </c>
      <c r="B928" s="3" t="s">
        <v>1011</v>
      </c>
      <c r="C928" s="3" t="s">
        <v>647</v>
      </c>
      <c r="G928" s="4">
        <v>0.1</v>
      </c>
      <c r="H928" s="30">
        <v>1.2926882383413271E-3</v>
      </c>
      <c r="I928" s="30">
        <v>1.2926882383413271E-3</v>
      </c>
      <c r="J928" s="3">
        <v>8.4716691178722569E-4</v>
      </c>
      <c r="K928" s="3">
        <v>1.2707503676808384E-3</v>
      </c>
      <c r="L928" s="3">
        <v>2</v>
      </c>
      <c r="N928" s="5">
        <v>927</v>
      </c>
    </row>
    <row r="929" spans="1:14" x14ac:dyDescent="0.25">
      <c r="A929" s="3" t="s">
        <v>1796</v>
      </c>
      <c r="B929" s="3" t="s">
        <v>648</v>
      </c>
      <c r="C929" s="3" t="s">
        <v>666</v>
      </c>
      <c r="D929" s="3">
        <v>43.02</v>
      </c>
      <c r="E929" s="3">
        <v>43.02</v>
      </c>
      <c r="F929" s="3">
        <v>43.02</v>
      </c>
      <c r="G929" s="4">
        <v>43.02</v>
      </c>
      <c r="H929" s="30">
        <v>4.063901218927247E-3</v>
      </c>
      <c r="I929" s="30">
        <v>4.063901218927247E-3</v>
      </c>
      <c r="J929" s="3">
        <v>2.0451839392187162E-3</v>
      </c>
      <c r="K929" s="3">
        <v>3.067775908828074E-3</v>
      </c>
      <c r="L929" s="3">
        <v>2</v>
      </c>
      <c r="N929" s="5">
        <v>928</v>
      </c>
    </row>
    <row r="930" spans="1:14" x14ac:dyDescent="0.25">
      <c r="A930" s="3" t="s">
        <v>1797</v>
      </c>
      <c r="B930" s="3" t="s">
        <v>649</v>
      </c>
      <c r="C930" s="3" t="s">
        <v>653</v>
      </c>
      <c r="G930" s="4">
        <v>4.0550000000000059</v>
      </c>
      <c r="H930" s="30">
        <v>2.0433926392719841E-3</v>
      </c>
      <c r="I930" s="30">
        <v>2.0433926392719841E-3</v>
      </c>
      <c r="J930" s="3">
        <v>1.6347141114175874E-3</v>
      </c>
      <c r="K930" s="3">
        <v>2.452071167126381E-3</v>
      </c>
      <c r="L930" s="3">
        <v>2</v>
      </c>
      <c r="N930" s="5">
        <v>929</v>
      </c>
    </row>
    <row r="931" spans="1:14" x14ac:dyDescent="0.25">
      <c r="A931" s="3" t="s">
        <v>1798</v>
      </c>
      <c r="B931" s="3" t="s">
        <v>1012</v>
      </c>
      <c r="C931" s="3" t="s">
        <v>650</v>
      </c>
      <c r="G931" s="4">
        <v>0.1</v>
      </c>
      <c r="H931" s="30">
        <v>3.082975855184291E-3</v>
      </c>
      <c r="I931" s="30">
        <v>3.082975855184291E-3</v>
      </c>
      <c r="J931" s="3">
        <v>2.4663806841474329E-3</v>
      </c>
      <c r="K931" s="3">
        <v>3.699571026221149E-3</v>
      </c>
      <c r="L931" s="3">
        <v>2</v>
      </c>
      <c r="N931" s="5">
        <v>930</v>
      </c>
    </row>
    <row r="932" spans="1:14" x14ac:dyDescent="0.25">
      <c r="A932" s="3" t="s">
        <v>1799</v>
      </c>
      <c r="B932" s="3" t="s">
        <v>1013</v>
      </c>
      <c r="C932" s="3" t="s">
        <v>652</v>
      </c>
      <c r="G932" s="4">
        <v>0.1</v>
      </c>
      <c r="H932" s="30">
        <v>3.0147906195638792E-3</v>
      </c>
      <c r="I932" s="30">
        <v>3.0147906195638792E-3</v>
      </c>
      <c r="J932" s="3">
        <v>2.4118324956511035E-3</v>
      </c>
      <c r="K932" s="3">
        <v>3.6177487434766549E-3</v>
      </c>
      <c r="L932" s="3">
        <v>2</v>
      </c>
      <c r="N932" s="5">
        <v>931</v>
      </c>
    </row>
    <row r="933" spans="1:14" x14ac:dyDescent="0.25">
      <c r="A933" s="3" t="s">
        <v>1800</v>
      </c>
      <c r="B933" s="3" t="s">
        <v>653</v>
      </c>
      <c r="C933" s="3" t="s">
        <v>1014</v>
      </c>
      <c r="G933" s="4">
        <v>3.9550000000000058</v>
      </c>
      <c r="H933" s="30">
        <v>6.7462982556181451E-3</v>
      </c>
      <c r="I933" s="30">
        <v>6.7462982556181451E-3</v>
      </c>
      <c r="J933" s="3">
        <v>3.8242086892604707E-3</v>
      </c>
      <c r="K933" s="3">
        <v>2.2804721265046946E-2</v>
      </c>
      <c r="L933" s="3">
        <v>2</v>
      </c>
      <c r="N933" s="5">
        <v>932</v>
      </c>
    </row>
    <row r="934" spans="1:14" x14ac:dyDescent="0.25">
      <c r="A934" s="3" t="s">
        <v>1801</v>
      </c>
      <c r="B934" s="3" t="s">
        <v>654</v>
      </c>
      <c r="C934" s="3" t="s">
        <v>1014</v>
      </c>
      <c r="G934" s="4">
        <v>23.034999999999989</v>
      </c>
      <c r="H934" s="30">
        <v>3.231372651738825E-3</v>
      </c>
      <c r="I934" s="30">
        <v>3.231372651738825E-3</v>
      </c>
      <c r="J934" s="3">
        <v>5.6239108623486211E-4</v>
      </c>
      <c r="K934" s="3">
        <v>8.4358662935229306E-4</v>
      </c>
      <c r="L934" s="3">
        <v>2</v>
      </c>
      <c r="N934" s="5">
        <v>933</v>
      </c>
    </row>
    <row r="935" spans="1:14" x14ac:dyDescent="0.25">
      <c r="A935" s="34" t="s">
        <v>1802</v>
      </c>
      <c r="B935" s="34" t="s">
        <v>1015</v>
      </c>
      <c r="C935" s="34" t="s">
        <v>654</v>
      </c>
      <c r="D935" s="34"/>
      <c r="E935" s="34"/>
      <c r="F935" s="7">
        <v>5.63</v>
      </c>
      <c r="G935" s="35">
        <v>22.934999999999992</v>
      </c>
      <c r="H935" s="39">
        <v>2.685451325410921E-3</v>
      </c>
      <c r="I935" s="39">
        <v>2.685451325410921E-3</v>
      </c>
      <c r="J935" s="34">
        <v>3.3832331331649604E-2</v>
      </c>
      <c r="K935" s="34">
        <v>5.0748496997474399E-2</v>
      </c>
      <c r="L935" s="34">
        <v>2</v>
      </c>
      <c r="M935" s="34" t="s">
        <v>2099</v>
      </c>
      <c r="N935" s="37">
        <v>934</v>
      </c>
    </row>
    <row r="936" spans="1:14" x14ac:dyDescent="0.25">
      <c r="A936" s="7" t="s">
        <v>1803</v>
      </c>
      <c r="B936" s="7" t="s">
        <v>1014</v>
      </c>
      <c r="C936" s="7" t="s">
        <v>516</v>
      </c>
      <c r="D936" s="7">
        <v>26.99</v>
      </c>
      <c r="E936" s="7">
        <v>26.99</v>
      </c>
      <c r="F936" s="7">
        <v>26.99</v>
      </c>
      <c r="G936" s="11">
        <v>26.99</v>
      </c>
      <c r="H936" s="8">
        <v>50</v>
      </c>
      <c r="I936" s="31">
        <v>2.0993887453278691E-3</v>
      </c>
      <c r="J936" s="7">
        <v>4.1987774906557382E-5</v>
      </c>
      <c r="K936" s="7">
        <v>0.06</v>
      </c>
      <c r="L936" s="7">
        <v>2</v>
      </c>
      <c r="M936" s="7"/>
      <c r="N936" s="8">
        <v>935</v>
      </c>
    </row>
    <row r="937" spans="1:14" x14ac:dyDescent="0.25">
      <c r="A937" s="34" t="s">
        <v>1804</v>
      </c>
      <c r="B937" s="34" t="s">
        <v>469</v>
      </c>
      <c r="C937" s="34" t="s">
        <v>994</v>
      </c>
      <c r="D937" s="34"/>
      <c r="E937" s="34"/>
      <c r="F937" s="34"/>
      <c r="G937" s="11">
        <v>1.380000000000001</v>
      </c>
      <c r="H937" s="39">
        <v>4.7704316671173613E-2</v>
      </c>
      <c r="I937" s="39">
        <v>4.7704316671173613E-2</v>
      </c>
      <c r="J937" s="34">
        <v>2.1531528384688026E-2</v>
      </c>
      <c r="K937" s="34">
        <v>3.2297292577032032E-2</v>
      </c>
      <c r="L937" s="34">
        <v>2</v>
      </c>
      <c r="M937" s="34" t="s">
        <v>2082</v>
      </c>
      <c r="N937" s="37">
        <v>936</v>
      </c>
    </row>
    <row r="938" spans="1:14" x14ac:dyDescent="0.25">
      <c r="A938" s="34" t="s">
        <v>1805</v>
      </c>
      <c r="B938" s="34" t="s">
        <v>679</v>
      </c>
      <c r="C938" s="34" t="s">
        <v>997</v>
      </c>
      <c r="D938" s="34"/>
      <c r="E938" s="34"/>
      <c r="F938" s="34"/>
      <c r="G938" s="11">
        <v>5.92</v>
      </c>
      <c r="H938" s="39">
        <v>4.6732641199047777E-2</v>
      </c>
      <c r="I938" s="39">
        <v>4.6732641199047777E-2</v>
      </c>
      <c r="J938" s="34">
        <v>0.29565776061745241</v>
      </c>
      <c r="K938" s="34">
        <v>0.44348664092617862</v>
      </c>
      <c r="L938" s="34">
        <v>2</v>
      </c>
      <c r="M938" s="34" t="s">
        <v>2082</v>
      </c>
      <c r="N938" s="37">
        <v>937</v>
      </c>
    </row>
    <row r="939" spans="1:14" x14ac:dyDescent="0.25">
      <c r="A939" s="34" t="s">
        <v>1806</v>
      </c>
      <c r="B939" s="34" t="s">
        <v>680</v>
      </c>
      <c r="C939" s="34" t="s">
        <v>999</v>
      </c>
      <c r="D939" s="34"/>
      <c r="E939" s="34"/>
      <c r="F939" s="34"/>
      <c r="G939" s="11">
        <v>0.92000000000000026</v>
      </c>
      <c r="H939" s="39">
        <v>4.6987791687719757E-2</v>
      </c>
      <c r="I939" s="39">
        <v>4.6987791687719757E-2</v>
      </c>
      <c r="J939" s="34">
        <v>0.41218538336548466</v>
      </c>
      <c r="K939" s="34">
        <v>0.61827807504822696</v>
      </c>
      <c r="L939" s="34">
        <v>2</v>
      </c>
      <c r="M939" s="34" t="s">
        <v>2082</v>
      </c>
      <c r="N939" s="37">
        <v>938</v>
      </c>
    </row>
    <row r="940" spans="1:14" x14ac:dyDescent="0.25">
      <c r="A940" s="34" t="s">
        <v>1807</v>
      </c>
      <c r="B940" s="34" t="s">
        <v>681</v>
      </c>
      <c r="C940" s="34" t="s">
        <v>1000</v>
      </c>
      <c r="D940" s="34"/>
      <c r="E940" s="34"/>
      <c r="F940" s="34"/>
      <c r="G940" s="11">
        <v>2.4199999999999928</v>
      </c>
      <c r="H940" s="39">
        <v>5.2696049198103091E-2</v>
      </c>
      <c r="I940" s="39">
        <v>5.2696049198103091E-2</v>
      </c>
      <c r="J940" s="34">
        <v>6.0005356880042729E-2</v>
      </c>
      <c r="K940" s="34">
        <v>9.0008035320064086E-2</v>
      </c>
      <c r="L940" s="34">
        <v>2</v>
      </c>
      <c r="M940" s="34" t="s">
        <v>2082</v>
      </c>
      <c r="N940" s="37">
        <v>939</v>
      </c>
    </row>
    <row r="941" spans="1:14" x14ac:dyDescent="0.25">
      <c r="A941" s="34" t="s">
        <v>1808</v>
      </c>
      <c r="B941" s="34" t="s">
        <v>682</v>
      </c>
      <c r="C941" s="34" t="s">
        <v>1001</v>
      </c>
      <c r="D941" s="34"/>
      <c r="E941" s="34"/>
      <c r="F941" s="34"/>
      <c r="G941" s="11">
        <v>4.0900000000000016</v>
      </c>
      <c r="H941" s="39">
        <v>4.7522740388680873E-2</v>
      </c>
      <c r="I941" s="39">
        <v>4.7522740388680873E-2</v>
      </c>
      <c r="J941" s="34">
        <v>4.6864929439470758E-2</v>
      </c>
      <c r="K941" s="34">
        <v>7.0297394159206134E-2</v>
      </c>
      <c r="L941" s="34">
        <v>2</v>
      </c>
      <c r="M941" s="34" t="s">
        <v>2082</v>
      </c>
      <c r="N941" s="37">
        <v>940</v>
      </c>
    </row>
    <row r="942" spans="1:14" x14ac:dyDescent="0.25">
      <c r="A942" s="34" t="s">
        <v>1809</v>
      </c>
      <c r="B942" s="34" t="s">
        <v>683</v>
      </c>
      <c r="C942" s="34" t="s">
        <v>1002</v>
      </c>
      <c r="D942" s="34"/>
      <c r="E942" s="34"/>
      <c r="F942" s="7">
        <v>1.9</v>
      </c>
      <c r="G942" s="35">
        <v>2.1899999999999959</v>
      </c>
      <c r="H942" s="39">
        <v>4.7711130521772498E-2</v>
      </c>
      <c r="I942" s="39">
        <v>4.7711130521772498E-2</v>
      </c>
      <c r="J942" s="34">
        <v>0.30750541544786131</v>
      </c>
      <c r="K942" s="34">
        <v>0.46125812317179188</v>
      </c>
      <c r="L942" s="34">
        <v>2</v>
      </c>
      <c r="M942" s="34" t="s">
        <v>2082</v>
      </c>
      <c r="N942" s="37">
        <v>941</v>
      </c>
    </row>
    <row r="943" spans="1:14" x14ac:dyDescent="0.25">
      <c r="A943" s="34" t="s">
        <v>1810</v>
      </c>
      <c r="B943" s="34" t="s">
        <v>1016</v>
      </c>
      <c r="C943" s="34" t="s">
        <v>996</v>
      </c>
      <c r="D943" s="34"/>
      <c r="E943" s="34"/>
      <c r="F943" s="7">
        <v>7.8</v>
      </c>
      <c r="G943" s="35">
        <v>0.2</v>
      </c>
      <c r="H943" s="39">
        <v>4.5575531198101378E-2</v>
      </c>
      <c r="I943" s="39">
        <v>4.5575531198101378E-2</v>
      </c>
      <c r="J943" s="34">
        <v>2.2977679614927762E-2</v>
      </c>
      <c r="K943" s="34">
        <v>3.4466519422391637E-2</v>
      </c>
      <c r="L943" s="34">
        <v>2</v>
      </c>
      <c r="M943" s="34" t="s">
        <v>2082</v>
      </c>
      <c r="N943" s="37">
        <v>942</v>
      </c>
    </row>
    <row r="944" spans="1:14" x14ac:dyDescent="0.25">
      <c r="A944" s="34" t="s">
        <v>1811</v>
      </c>
      <c r="B944" s="34" t="s">
        <v>684</v>
      </c>
      <c r="C944" s="34" t="s">
        <v>1003</v>
      </c>
      <c r="D944" s="34"/>
      <c r="E944" s="34"/>
      <c r="F944" s="7">
        <v>0.01</v>
      </c>
      <c r="G944" s="35">
        <v>3.3999999999999968</v>
      </c>
      <c r="H944" s="39">
        <v>4.9248590954381881E-2</v>
      </c>
      <c r="I944" s="39">
        <v>4.9248590954381881E-2</v>
      </c>
      <c r="J944" s="34">
        <v>0.32320765621311592</v>
      </c>
      <c r="K944" s="34">
        <v>0.48481148431967386</v>
      </c>
      <c r="L944" s="34">
        <v>2</v>
      </c>
      <c r="M944" s="34" t="s">
        <v>2082</v>
      </c>
      <c r="N944" s="37">
        <v>943</v>
      </c>
    </row>
    <row r="945" spans="1:14" x14ac:dyDescent="0.25">
      <c r="A945" s="34" t="s">
        <v>1812</v>
      </c>
      <c r="B945" s="34" t="s">
        <v>685</v>
      </c>
      <c r="C945" s="34" t="s">
        <v>655</v>
      </c>
      <c r="D945" s="34"/>
      <c r="E945" s="34"/>
      <c r="F945" s="34"/>
      <c r="G945" s="11">
        <v>2.7699999999999951</v>
      </c>
      <c r="H945" s="39">
        <v>4.6294665785025488E-2</v>
      </c>
      <c r="I945" s="39">
        <v>4.6294665785025488E-2</v>
      </c>
      <c r="J945" s="34">
        <v>0.50304397441130999</v>
      </c>
      <c r="K945" s="34">
        <v>0.75456596161696488</v>
      </c>
      <c r="L945" s="34">
        <v>2</v>
      </c>
      <c r="M945" s="34" t="s">
        <v>2082</v>
      </c>
      <c r="N945" s="37">
        <v>944</v>
      </c>
    </row>
    <row r="946" spans="1:14" x14ac:dyDescent="0.25">
      <c r="A946" s="34" t="s">
        <v>1813</v>
      </c>
      <c r="B946" s="34" t="s">
        <v>686</v>
      </c>
      <c r="C946" s="34" t="s">
        <v>1004</v>
      </c>
      <c r="D946" s="34"/>
      <c r="E946" s="34"/>
      <c r="F946" s="34"/>
      <c r="G946" s="11">
        <v>0.99999999999999856</v>
      </c>
      <c r="H946" s="39">
        <v>4.7416124085570409E-2</v>
      </c>
      <c r="I946" s="39">
        <v>4.7416124085570409E-2</v>
      </c>
      <c r="J946" s="34">
        <v>1.4194290755409009</v>
      </c>
      <c r="K946" s="34">
        <v>2.129143613311351</v>
      </c>
      <c r="L946" s="34">
        <v>2</v>
      </c>
      <c r="M946" s="34" t="s">
        <v>2082</v>
      </c>
      <c r="N946" s="37">
        <v>945</v>
      </c>
    </row>
    <row r="947" spans="1:14" x14ac:dyDescent="0.25">
      <c r="A947" s="34" t="s">
        <v>1814</v>
      </c>
      <c r="B947" s="34" t="s">
        <v>687</v>
      </c>
      <c r="C947" s="34" t="s">
        <v>1005</v>
      </c>
      <c r="D947" s="34"/>
      <c r="E947" s="34"/>
      <c r="F947" s="34"/>
      <c r="G947" s="11">
        <v>0.43000000000000538</v>
      </c>
      <c r="H947" s="39">
        <v>4.6505284025623143E-2</v>
      </c>
      <c r="I947" s="39">
        <v>4.6505284025623143E-2</v>
      </c>
      <c r="J947" s="34">
        <v>7.594802392901201E-2</v>
      </c>
      <c r="K947" s="34">
        <v>0.11392203589351799</v>
      </c>
      <c r="L947" s="34">
        <v>2</v>
      </c>
      <c r="M947" s="34" t="s">
        <v>2082</v>
      </c>
      <c r="N947" s="37">
        <v>946</v>
      </c>
    </row>
    <row r="948" spans="1:14" x14ac:dyDescent="0.25">
      <c r="A948" s="34" t="s">
        <v>1815</v>
      </c>
      <c r="B948" s="34" t="s">
        <v>688</v>
      </c>
      <c r="C948" s="34" t="s">
        <v>1006</v>
      </c>
      <c r="D948" s="34"/>
      <c r="E948" s="34"/>
      <c r="F948" s="34"/>
      <c r="G948" s="11">
        <v>2.3099999999999938</v>
      </c>
      <c r="H948" s="39">
        <v>4.8129723641622983E-2</v>
      </c>
      <c r="I948" s="39">
        <v>4.8129723641622983E-2</v>
      </c>
      <c r="J948" s="34">
        <v>0.21311076674843998</v>
      </c>
      <c r="K948" s="34">
        <v>0.31966615012265998</v>
      </c>
      <c r="L948" s="34">
        <v>2</v>
      </c>
      <c r="M948" s="34" t="s">
        <v>2082</v>
      </c>
      <c r="N948" s="37">
        <v>947</v>
      </c>
    </row>
    <row r="949" spans="1:14" x14ac:dyDescent="0.25">
      <c r="A949" s="34" t="s">
        <v>1816</v>
      </c>
      <c r="B949" s="34" t="s">
        <v>689</v>
      </c>
      <c r="C949" s="34" t="s">
        <v>1007</v>
      </c>
      <c r="D949" s="34"/>
      <c r="E949" s="34"/>
      <c r="F949" s="34"/>
      <c r="G949" s="11">
        <v>4.3299999999999974</v>
      </c>
      <c r="H949" s="39">
        <v>4.3867366163715678E-2</v>
      </c>
      <c r="I949" s="39">
        <v>4.3867366163715678E-2</v>
      </c>
      <c r="J949" s="34">
        <v>3.8490843366448146E-2</v>
      </c>
      <c r="K949" s="34">
        <v>5.773626504967222E-2</v>
      </c>
      <c r="L949" s="34">
        <v>2</v>
      </c>
      <c r="M949" s="34" t="s">
        <v>2082</v>
      </c>
      <c r="N949" s="37">
        <v>948</v>
      </c>
    </row>
    <row r="950" spans="1:14" x14ac:dyDescent="0.25">
      <c r="A950" s="34" t="s">
        <v>1817</v>
      </c>
      <c r="B950" s="34" t="s">
        <v>690</v>
      </c>
      <c r="C950" s="34" t="s">
        <v>1008</v>
      </c>
      <c r="D950" s="34"/>
      <c r="E950" s="34"/>
      <c r="F950" s="34"/>
      <c r="G950" s="11">
        <v>2.8899999999999988</v>
      </c>
      <c r="H950" s="39">
        <v>4.7919835418057388E-2</v>
      </c>
      <c r="I950" s="39">
        <v>4.7919835418057388E-2</v>
      </c>
      <c r="J950" s="34">
        <v>8.0228172930469688E-2</v>
      </c>
      <c r="K950" s="34">
        <v>0.1203422593957045</v>
      </c>
      <c r="L950" s="34">
        <v>2</v>
      </c>
      <c r="M950" s="34" t="s">
        <v>2082</v>
      </c>
      <c r="N950" s="37">
        <v>949</v>
      </c>
    </row>
    <row r="951" spans="1:14" x14ac:dyDescent="0.25">
      <c r="A951" s="34" t="s">
        <v>1818</v>
      </c>
      <c r="B951" s="34" t="s">
        <v>691</v>
      </c>
      <c r="C951" s="34" t="s">
        <v>631</v>
      </c>
      <c r="D951" s="34"/>
      <c r="E951" s="34"/>
      <c r="F951" s="7">
        <v>5.34</v>
      </c>
      <c r="G951" s="35">
        <v>0.1</v>
      </c>
      <c r="H951" s="39">
        <v>4.8377171650354579E-2</v>
      </c>
      <c r="I951" s="39">
        <v>4.8377171650354579E-2</v>
      </c>
      <c r="J951" s="34">
        <v>2.3245363687989313E-2</v>
      </c>
      <c r="K951" s="34">
        <v>3.4868045531983964E-2</v>
      </c>
      <c r="L951" s="34">
        <v>2</v>
      </c>
      <c r="M951" s="34" t="s">
        <v>2082</v>
      </c>
      <c r="N951" s="37">
        <v>950</v>
      </c>
    </row>
    <row r="952" spans="1:14" x14ac:dyDescent="0.25">
      <c r="A952" s="34" t="s">
        <v>1819</v>
      </c>
      <c r="B952" s="34" t="s">
        <v>692</v>
      </c>
      <c r="C952" s="34" t="s">
        <v>1010</v>
      </c>
      <c r="D952" s="34"/>
      <c r="E952" s="34"/>
      <c r="F952" s="7">
        <v>4.54</v>
      </c>
      <c r="G952" s="35">
        <v>1.4324999999999939</v>
      </c>
      <c r="H952" s="39">
        <v>4.7179952298037633E-2</v>
      </c>
      <c r="I952" s="39">
        <v>4.7179952298037633E-2</v>
      </c>
      <c r="J952" s="34">
        <v>3.6436868546385025E-2</v>
      </c>
      <c r="K952" s="34">
        <v>5.4655302819577541E-2</v>
      </c>
      <c r="L952" s="34">
        <v>2</v>
      </c>
      <c r="M952" s="34" t="s">
        <v>2082</v>
      </c>
      <c r="N952" s="37">
        <v>951</v>
      </c>
    </row>
    <row r="953" spans="1:14" x14ac:dyDescent="0.25">
      <c r="A953" s="34" t="s">
        <v>1820</v>
      </c>
      <c r="B953" s="34" t="s">
        <v>693</v>
      </c>
      <c r="C953" s="34" t="s">
        <v>656</v>
      </c>
      <c r="D953" s="34"/>
      <c r="E953" s="34"/>
      <c r="F953" s="7">
        <v>3.51</v>
      </c>
      <c r="G953" s="35">
        <v>0.38999999999999768</v>
      </c>
      <c r="H953" s="39">
        <v>4.5361266425297121E-2</v>
      </c>
      <c r="I953" s="39">
        <v>4.5361266425297121E-2</v>
      </c>
      <c r="J953" s="34">
        <v>3.7223854428056195E-2</v>
      </c>
      <c r="K953" s="34">
        <v>5.5835781642084283E-2</v>
      </c>
      <c r="L953" s="34">
        <v>2</v>
      </c>
      <c r="M953" s="34" t="s">
        <v>2082</v>
      </c>
      <c r="N953" s="37">
        <v>952</v>
      </c>
    </row>
    <row r="954" spans="1:14" x14ac:dyDescent="0.25">
      <c r="A954" s="34" t="s">
        <v>1821</v>
      </c>
      <c r="B954" s="34" t="s">
        <v>694</v>
      </c>
      <c r="C954" s="34" t="s">
        <v>657</v>
      </c>
      <c r="D954" s="34"/>
      <c r="E954" s="34"/>
      <c r="F954" s="7">
        <v>4.9800000000000004</v>
      </c>
      <c r="G954" s="35">
        <v>0.1</v>
      </c>
      <c r="H954" s="39">
        <v>4.5711009111161528E-2</v>
      </c>
      <c r="I954" s="39">
        <v>4.5711009111161528E-2</v>
      </c>
      <c r="J954" s="34">
        <v>1.9924366867852355E-2</v>
      </c>
      <c r="K954" s="34">
        <v>2.9886550301778527E-2</v>
      </c>
      <c r="L954" s="34">
        <v>2</v>
      </c>
      <c r="M954" s="34" t="s">
        <v>2082</v>
      </c>
      <c r="N954" s="37">
        <v>953</v>
      </c>
    </row>
    <row r="955" spans="1:14" x14ac:dyDescent="0.25">
      <c r="A955" s="34" t="s">
        <v>1822</v>
      </c>
      <c r="B955" s="34" t="s">
        <v>695</v>
      </c>
      <c r="C955" s="34" t="s">
        <v>658</v>
      </c>
      <c r="D955" s="34"/>
      <c r="E955" s="34"/>
      <c r="F955" s="7">
        <v>0.03</v>
      </c>
      <c r="G955" s="35">
        <v>0.64999999999999925</v>
      </c>
      <c r="H955" s="39">
        <v>4.57153564006402E-2</v>
      </c>
      <c r="I955" s="39">
        <v>4.57153564006402E-2</v>
      </c>
      <c r="J955" s="34">
        <v>1.5131764074739649</v>
      </c>
      <c r="K955" s="34">
        <v>2.2697646112109471</v>
      </c>
      <c r="L955" s="34">
        <v>2</v>
      </c>
      <c r="M955" s="34" t="s">
        <v>2082</v>
      </c>
      <c r="N955" s="37">
        <v>954</v>
      </c>
    </row>
    <row r="956" spans="1:14" x14ac:dyDescent="0.25">
      <c r="A956" s="34" t="s">
        <v>1823</v>
      </c>
      <c r="B956" s="34" t="s">
        <v>696</v>
      </c>
      <c r="C956" s="34" t="s">
        <v>1011</v>
      </c>
      <c r="D956" s="34"/>
      <c r="E956" s="34"/>
      <c r="F956" s="7">
        <v>3.65</v>
      </c>
      <c r="G956" s="35">
        <v>0.2</v>
      </c>
      <c r="H956" s="39">
        <v>4.6762963314692131E-2</v>
      </c>
      <c r="I956" s="39">
        <v>4.6762963314692131E-2</v>
      </c>
      <c r="J956" s="34">
        <v>4.071861939648299E-2</v>
      </c>
      <c r="K956" s="34">
        <v>6.1077929094724474E-2</v>
      </c>
      <c r="L956" s="34">
        <v>2</v>
      </c>
      <c r="M956" s="34" t="s">
        <v>2082</v>
      </c>
      <c r="N956" s="37">
        <v>955</v>
      </c>
    </row>
    <row r="957" spans="1:14" x14ac:dyDescent="0.25">
      <c r="A957" s="34" t="s">
        <v>1824</v>
      </c>
      <c r="B957" s="34" t="s">
        <v>697</v>
      </c>
      <c r="C957" s="34" t="s">
        <v>659</v>
      </c>
      <c r="D957" s="34"/>
      <c r="E957" s="34"/>
      <c r="F957" s="7">
        <v>2.75</v>
      </c>
      <c r="G957" s="35">
        <v>0.2</v>
      </c>
      <c r="H957" s="39">
        <v>4.6413022967756658E-2</v>
      </c>
      <c r="I957" s="39">
        <v>4.6413022967756658E-2</v>
      </c>
      <c r="J957" s="34">
        <v>0.38815098428917066</v>
      </c>
      <c r="K957" s="34">
        <v>0.58222647643375591</v>
      </c>
      <c r="L957" s="34">
        <v>2</v>
      </c>
      <c r="M957" s="34" t="s">
        <v>2082</v>
      </c>
      <c r="N957" s="37">
        <v>956</v>
      </c>
    </row>
    <row r="958" spans="1:14" x14ac:dyDescent="0.25">
      <c r="A958" s="3" t="s">
        <v>1825</v>
      </c>
      <c r="B958" s="3" t="s">
        <v>660</v>
      </c>
      <c r="C958" s="3" t="s">
        <v>662</v>
      </c>
      <c r="D958" s="3">
        <v>6.82</v>
      </c>
      <c r="E958" s="3">
        <v>6.82</v>
      </c>
      <c r="F958" s="3">
        <v>6.82</v>
      </c>
      <c r="G958" s="4">
        <v>6.82</v>
      </c>
      <c r="H958" s="30">
        <v>7.3903470668123857E-3</v>
      </c>
      <c r="I958" s="30">
        <v>7.3903470668123857E-3</v>
      </c>
      <c r="J958" s="3">
        <v>3.7726122600189658E-3</v>
      </c>
      <c r="K958" s="3">
        <v>5.6589183900284485E-3</v>
      </c>
      <c r="L958" s="3">
        <v>2</v>
      </c>
      <c r="N958" s="5">
        <v>957</v>
      </c>
    </row>
    <row r="959" spans="1:14" x14ac:dyDescent="0.25">
      <c r="A959" s="34" t="s">
        <v>1826</v>
      </c>
      <c r="B959" s="34" t="s">
        <v>698</v>
      </c>
      <c r="C959" s="34" t="s">
        <v>660</v>
      </c>
      <c r="D959" s="34"/>
      <c r="E959" s="34"/>
      <c r="F959" s="7">
        <v>4.4800000000000004</v>
      </c>
      <c r="G959" s="35">
        <v>6.92</v>
      </c>
      <c r="H959" s="39">
        <v>4.2365335855902277E-2</v>
      </c>
      <c r="I959" s="39">
        <v>4.2365335855902277E-2</v>
      </c>
      <c r="J959" s="34">
        <v>1.7016420759085993E-2</v>
      </c>
      <c r="K959" s="34">
        <v>2.5524631138628989E-2</v>
      </c>
      <c r="L959" s="34">
        <v>2</v>
      </c>
      <c r="M959" s="34" t="s">
        <v>2082</v>
      </c>
      <c r="N959" s="37">
        <v>958</v>
      </c>
    </row>
    <row r="960" spans="1:14" x14ac:dyDescent="0.25">
      <c r="A960" s="3" t="s">
        <v>1827</v>
      </c>
      <c r="B960" s="3" t="s">
        <v>1012</v>
      </c>
      <c r="C960" s="3" t="s">
        <v>662</v>
      </c>
      <c r="G960" s="4">
        <v>6.6199999999999992</v>
      </c>
      <c r="H960" s="30">
        <v>2.7925787783043729E-4</v>
      </c>
      <c r="I960" s="30">
        <v>2.7925787783043729E-4</v>
      </c>
      <c r="J960" s="3">
        <v>3.4281131910781748E-4</v>
      </c>
      <c r="K960" s="3">
        <v>5.1421697866172616E-4</v>
      </c>
      <c r="L960" s="3">
        <v>2</v>
      </c>
      <c r="N960" s="5">
        <v>959</v>
      </c>
    </row>
    <row r="961" spans="1:14" x14ac:dyDescent="0.25">
      <c r="A961" s="34" t="s">
        <v>1828</v>
      </c>
      <c r="B961" s="34" t="s">
        <v>699</v>
      </c>
      <c r="C961" s="34" t="s">
        <v>1012</v>
      </c>
      <c r="D961" s="34"/>
      <c r="E961" s="34"/>
      <c r="F961" s="7">
        <v>0.01</v>
      </c>
      <c r="G961" s="35">
        <v>6.7200000000000006</v>
      </c>
      <c r="H961" s="39">
        <v>4.1826130588299038E-2</v>
      </c>
      <c r="I961" s="39">
        <v>4.1826130588299038E-2</v>
      </c>
      <c r="J961" s="34">
        <v>0.2986470501808729</v>
      </c>
      <c r="K961" s="34">
        <v>0.44797057527130935</v>
      </c>
      <c r="L961" s="34">
        <v>2</v>
      </c>
      <c r="M961" s="34" t="s">
        <v>2082</v>
      </c>
      <c r="N961" s="37">
        <v>960</v>
      </c>
    </row>
    <row r="962" spans="1:14" x14ac:dyDescent="0.25">
      <c r="A962" s="3" t="s">
        <v>1829</v>
      </c>
      <c r="B962" s="3" t="s">
        <v>1013</v>
      </c>
      <c r="C962" s="3" t="s">
        <v>664</v>
      </c>
      <c r="G962" s="4">
        <v>12.23</v>
      </c>
      <c r="H962" s="30">
        <v>1.962060006373932E-3</v>
      </c>
      <c r="I962" s="30">
        <v>1.962060006373932E-3</v>
      </c>
      <c r="J962" s="3">
        <f>I962*0.8</f>
        <v>1.5696480050991458E-3</v>
      </c>
      <c r="K962" s="3">
        <f>I962*1.2</f>
        <v>2.3544720076487183E-3</v>
      </c>
      <c r="L962" s="3">
        <v>2</v>
      </c>
      <c r="N962" s="5">
        <v>961</v>
      </c>
    </row>
    <row r="963" spans="1:14" x14ac:dyDescent="0.25">
      <c r="A963" s="34" t="s">
        <v>1830</v>
      </c>
      <c r="B963" s="34" t="s">
        <v>700</v>
      </c>
      <c r="C963" s="34" t="s">
        <v>1013</v>
      </c>
      <c r="D963" s="34"/>
      <c r="E963" s="34"/>
      <c r="F963" s="7">
        <v>6</v>
      </c>
      <c r="G963" s="35">
        <v>12.33</v>
      </c>
      <c r="H963" s="39">
        <v>4.2008102024335151E-2</v>
      </c>
      <c r="I963" s="39">
        <v>4.2008102024335151E-2</v>
      </c>
      <c r="J963" s="34">
        <v>4.4660669697075862E-3</v>
      </c>
      <c r="K963" s="34">
        <v>6.6991004545613794E-3</v>
      </c>
      <c r="L963" s="34">
        <v>2</v>
      </c>
      <c r="M963" s="34" t="s">
        <v>2082</v>
      </c>
      <c r="N963" s="37">
        <v>962</v>
      </c>
    </row>
    <row r="964" spans="1:14" x14ac:dyDescent="0.25">
      <c r="A964" s="3" t="s">
        <v>1831</v>
      </c>
      <c r="B964" s="3" t="s">
        <v>661</v>
      </c>
      <c r="C964" s="3" t="s">
        <v>664</v>
      </c>
      <c r="D964" s="3">
        <v>6.42</v>
      </c>
      <c r="E964" s="3">
        <v>6.42</v>
      </c>
      <c r="F964" s="3">
        <v>6.42</v>
      </c>
      <c r="G964" s="4">
        <v>6.42</v>
      </c>
      <c r="H964" s="30">
        <v>9.9667114029901915E-2</v>
      </c>
      <c r="I964" s="30">
        <v>9.9667114029901915E-2</v>
      </c>
      <c r="J964" s="3">
        <v>5.2523280099669389E-2</v>
      </c>
      <c r="K964" s="3">
        <v>7.8784920149504084E-2</v>
      </c>
      <c r="L964" s="3">
        <v>2</v>
      </c>
      <c r="N964" s="5">
        <v>963</v>
      </c>
    </row>
    <row r="965" spans="1:14" x14ac:dyDescent="0.25">
      <c r="A965" s="34" t="s">
        <v>1832</v>
      </c>
      <c r="B965" s="34" t="s">
        <v>700</v>
      </c>
      <c r="C965" s="34" t="s">
        <v>661</v>
      </c>
      <c r="D965" s="34"/>
      <c r="E965" s="34"/>
      <c r="F965" s="7">
        <v>0.86</v>
      </c>
      <c r="G965" s="35">
        <v>7.0875000000000066</v>
      </c>
      <c r="H965" s="39">
        <v>7.9034543554463103E-3</v>
      </c>
      <c r="I965" s="39">
        <v>7.9034543554463103E-3</v>
      </c>
      <c r="J965" s="34">
        <v>7.1114261238335377E-3</v>
      </c>
      <c r="K965" s="34">
        <v>1.0667139185750307E-2</v>
      </c>
      <c r="L965" s="34">
        <v>2</v>
      </c>
      <c r="M965" s="34" t="s">
        <v>2082</v>
      </c>
      <c r="N965" s="37">
        <v>964</v>
      </c>
    </row>
    <row r="966" spans="1:14" x14ac:dyDescent="0.25">
      <c r="A966" s="3" t="s">
        <v>1833</v>
      </c>
      <c r="B966" s="3" t="s">
        <v>702</v>
      </c>
      <c r="C966" s="3" t="s">
        <v>667</v>
      </c>
      <c r="G966" s="4">
        <v>19.63</v>
      </c>
      <c r="H966" s="30">
        <v>3.7503190542667051E-3</v>
      </c>
      <c r="I966" s="30">
        <v>3.7503190542667051E-3</v>
      </c>
      <c r="J966" s="3">
        <v>3.3424678112151996E-3</v>
      </c>
      <c r="K966" s="3">
        <v>5.0137017168227988E-3</v>
      </c>
      <c r="L966" s="3">
        <v>2</v>
      </c>
      <c r="N966" s="5">
        <v>965</v>
      </c>
    </row>
    <row r="967" spans="1:14" x14ac:dyDescent="0.25">
      <c r="A967" s="34" t="s">
        <v>1834</v>
      </c>
      <c r="B967" s="34" t="s">
        <v>703</v>
      </c>
      <c r="C967" s="34" t="s">
        <v>979</v>
      </c>
      <c r="D967" s="34"/>
      <c r="E967" s="34"/>
      <c r="F967" s="7">
        <v>1.4</v>
      </c>
      <c r="G967" s="35">
        <v>4.6599999999999833</v>
      </c>
      <c r="H967" s="39">
        <v>5.7444658957836341E-2</v>
      </c>
      <c r="I967" s="39">
        <v>5.7444658957836341E-2</v>
      </c>
      <c r="J967" s="34">
        <v>0.20792110744221826</v>
      </c>
      <c r="K967" s="34">
        <v>0.31188166116332738</v>
      </c>
      <c r="L967" s="34">
        <v>2</v>
      </c>
      <c r="M967" s="34" t="s">
        <v>2082</v>
      </c>
      <c r="N967" s="37">
        <v>966</v>
      </c>
    </row>
    <row r="968" spans="1:14" x14ac:dyDescent="0.25">
      <c r="A968" s="34" t="s">
        <v>1835</v>
      </c>
      <c r="B968" s="34" t="s">
        <v>704</v>
      </c>
      <c r="C968" s="34" t="s">
        <v>980</v>
      </c>
      <c r="D968" s="34"/>
      <c r="E968" s="34"/>
      <c r="F968" s="34"/>
      <c r="G968" s="11">
        <v>0.1</v>
      </c>
      <c r="H968" s="39">
        <v>5.7155985943424033E-2</v>
      </c>
      <c r="I968" s="39">
        <v>5.7155985943424033E-2</v>
      </c>
      <c r="J968" s="34">
        <v>4.5617405366093697E-2</v>
      </c>
      <c r="K968" s="34">
        <v>6.8426108049140538E-2</v>
      </c>
      <c r="L968" s="34">
        <v>2</v>
      </c>
      <c r="M968" s="42" t="s">
        <v>2107</v>
      </c>
      <c r="N968" s="37">
        <v>967</v>
      </c>
    </row>
    <row r="969" spans="1:14" x14ac:dyDescent="0.25">
      <c r="A969" s="34" t="s">
        <v>1836</v>
      </c>
      <c r="B969" s="34" t="s">
        <v>678</v>
      </c>
      <c r="C969" s="34" t="s">
        <v>517</v>
      </c>
      <c r="D969" s="34"/>
      <c r="E969" s="34"/>
      <c r="F969" s="7">
        <v>13.43</v>
      </c>
      <c r="G969" s="35">
        <v>14.38</v>
      </c>
      <c r="H969" s="39">
        <v>1.959262454120498E-3</v>
      </c>
      <c r="I969" s="39">
        <v>1.959262454120498E-3</v>
      </c>
      <c r="J969" s="34">
        <v>1.4740678060518328E-2</v>
      </c>
      <c r="K969" s="34">
        <v>2.211101709077749E-2</v>
      </c>
      <c r="L969" s="34">
        <v>2</v>
      </c>
      <c r="M969" s="34" t="s">
        <v>2100</v>
      </c>
      <c r="N969" s="37">
        <v>968</v>
      </c>
    </row>
    <row r="970" spans="1:14" x14ac:dyDescent="0.25">
      <c r="A970" s="34" t="s">
        <v>1837</v>
      </c>
      <c r="B970" s="34" t="s">
        <v>668</v>
      </c>
      <c r="C970" s="34" t="s">
        <v>981</v>
      </c>
      <c r="D970" s="34"/>
      <c r="E970" s="34"/>
      <c r="F970" s="7">
        <v>1.4</v>
      </c>
      <c r="G970" s="35">
        <v>0.2</v>
      </c>
      <c r="H970" s="39">
        <v>5.3671212481941573E-2</v>
      </c>
      <c r="I970" s="39">
        <v>5.3671212481941573E-2</v>
      </c>
      <c r="J970" s="34">
        <v>0.6159412668409765</v>
      </c>
      <c r="K970" s="34">
        <v>0.92391190026146464</v>
      </c>
      <c r="L970" s="34">
        <v>2</v>
      </c>
      <c r="M970" s="34" t="s">
        <v>2082</v>
      </c>
      <c r="N970" s="37">
        <v>969</v>
      </c>
    </row>
    <row r="971" spans="1:14" x14ac:dyDescent="0.25">
      <c r="A971" s="34" t="s">
        <v>1838</v>
      </c>
      <c r="B971" s="34" t="s">
        <v>669</v>
      </c>
      <c r="C971" s="34" t="s">
        <v>982</v>
      </c>
      <c r="D971" s="34"/>
      <c r="E971" s="34"/>
      <c r="F971" s="7">
        <v>24.42</v>
      </c>
      <c r="G971" s="35">
        <v>0.19999999999999971</v>
      </c>
      <c r="H971" s="39">
        <v>4.7587291159348309E-2</v>
      </c>
      <c r="I971" s="39">
        <v>4.7587291159348309E-2</v>
      </c>
      <c r="J971" s="34">
        <v>8.21810815972112E-3</v>
      </c>
      <c r="K971" s="34">
        <v>1.232716223958168E-2</v>
      </c>
      <c r="L971" s="34">
        <v>2</v>
      </c>
      <c r="M971" s="34" t="s">
        <v>2082</v>
      </c>
      <c r="N971" s="37">
        <v>970</v>
      </c>
    </row>
    <row r="972" spans="1:14" x14ac:dyDescent="0.25">
      <c r="A972" s="34" t="s">
        <v>1839</v>
      </c>
      <c r="B972" s="34" t="s">
        <v>705</v>
      </c>
      <c r="C972" s="34" t="s">
        <v>983</v>
      </c>
      <c r="D972" s="34"/>
      <c r="E972" s="34"/>
      <c r="F972" s="34"/>
      <c r="G972" s="11">
        <v>7.4999999999999982</v>
      </c>
      <c r="H972" s="39">
        <v>4.7914116012956733E-2</v>
      </c>
      <c r="I972" s="39">
        <v>4.7914116012956733E-2</v>
      </c>
      <c r="J972" s="34">
        <v>2.2303818721204849E-2</v>
      </c>
      <c r="K972" s="34">
        <v>3.3455728081807273E-2</v>
      </c>
      <c r="L972" s="34">
        <v>2</v>
      </c>
      <c r="M972" s="34" t="s">
        <v>2082</v>
      </c>
      <c r="N972" s="37">
        <v>971</v>
      </c>
    </row>
    <row r="973" spans="1:14" x14ac:dyDescent="0.25">
      <c r="A973" s="34" t="s">
        <v>1840</v>
      </c>
      <c r="B973" s="34" t="s">
        <v>706</v>
      </c>
      <c r="C973" s="34" t="s">
        <v>984</v>
      </c>
      <c r="D973" s="34"/>
      <c r="E973" s="34"/>
      <c r="F973" s="34"/>
      <c r="G973" s="11">
        <v>4.2699999999999942</v>
      </c>
      <c r="H973" s="39">
        <v>4.8402470142089753E-2</v>
      </c>
      <c r="I973" s="39">
        <v>4.8402470142089753E-2</v>
      </c>
      <c r="J973" s="34">
        <v>6.9322603229756197E-2</v>
      </c>
      <c r="K973" s="34">
        <v>0.1039839048446343</v>
      </c>
      <c r="L973" s="34">
        <v>2</v>
      </c>
      <c r="M973" s="34" t="s">
        <v>2082</v>
      </c>
      <c r="N973" s="37">
        <v>972</v>
      </c>
    </row>
    <row r="974" spans="1:14" x14ac:dyDescent="0.25">
      <c r="A974" s="34" t="s">
        <v>1841</v>
      </c>
      <c r="B974" s="34" t="s">
        <v>707</v>
      </c>
      <c r="C974" s="34" t="s">
        <v>985</v>
      </c>
      <c r="D974" s="34"/>
      <c r="E974" s="34"/>
      <c r="F974" s="34"/>
      <c r="G974" s="11">
        <v>7.1900000000000031</v>
      </c>
      <c r="H974" s="39">
        <v>4.8207359836092353E-2</v>
      </c>
      <c r="I974" s="39">
        <v>4.8207359836092353E-2</v>
      </c>
      <c r="J974" s="34">
        <v>2.6428262419471112E-2</v>
      </c>
      <c r="K974" s="34">
        <v>3.9642393629206664E-2</v>
      </c>
      <c r="L974" s="34">
        <v>2</v>
      </c>
      <c r="M974" s="34" t="s">
        <v>2082</v>
      </c>
      <c r="N974" s="37">
        <v>973</v>
      </c>
    </row>
    <row r="975" spans="1:14" x14ac:dyDescent="0.25">
      <c r="A975" s="34" t="s">
        <v>1842</v>
      </c>
      <c r="B975" s="34" t="s">
        <v>708</v>
      </c>
      <c r="C975" s="34" t="s">
        <v>986</v>
      </c>
      <c r="D975" s="34"/>
      <c r="E975" s="34"/>
      <c r="F975" s="34"/>
      <c r="G975" s="11">
        <v>3.3899999999999988</v>
      </c>
      <c r="H975" s="39">
        <v>4.7364329037829028E-2</v>
      </c>
      <c r="I975" s="39">
        <v>4.7364329037829028E-2</v>
      </c>
      <c r="J975" s="34">
        <v>1.9132951282092775E-2</v>
      </c>
      <c r="K975" s="34">
        <v>2.8699426923139162E-2</v>
      </c>
      <c r="L975" s="34">
        <v>2</v>
      </c>
      <c r="M975" s="34" t="s">
        <v>2082</v>
      </c>
      <c r="N975" s="37">
        <v>974</v>
      </c>
    </row>
    <row r="976" spans="1:14" x14ac:dyDescent="0.25">
      <c r="A976" s="34" t="s">
        <v>1843</v>
      </c>
      <c r="B976" s="34" t="s">
        <v>709</v>
      </c>
      <c r="C976" s="34" t="s">
        <v>987</v>
      </c>
      <c r="D976" s="34"/>
      <c r="E976" s="34"/>
      <c r="F976" s="7">
        <v>0.17</v>
      </c>
      <c r="G976" s="35">
        <v>3.4999999999999911</v>
      </c>
      <c r="H976" s="39">
        <v>4.6942529196703893E-2</v>
      </c>
      <c r="I976" s="39">
        <v>4.6942529196703893E-2</v>
      </c>
      <c r="J976" s="34">
        <v>7.1391948181706577E-2</v>
      </c>
      <c r="K976" s="34">
        <v>0.10708792227255987</v>
      </c>
      <c r="L976" s="34">
        <v>2</v>
      </c>
      <c r="M976" s="34" t="s">
        <v>2082</v>
      </c>
      <c r="N976" s="37">
        <v>975</v>
      </c>
    </row>
    <row r="977" spans="1:14" x14ac:dyDescent="0.25">
      <c r="A977" s="34" t="s">
        <v>1844</v>
      </c>
      <c r="B977" s="34" t="s">
        <v>710</v>
      </c>
      <c r="C977" s="34" t="s">
        <v>988</v>
      </c>
      <c r="D977" s="34"/>
      <c r="E977" s="34"/>
      <c r="F977" s="7">
        <v>7.03</v>
      </c>
      <c r="G977" s="35">
        <v>3.7</v>
      </c>
      <c r="H977" s="39">
        <v>4.7125469129812442E-2</v>
      </c>
      <c r="I977" s="39">
        <v>4.7125469129812442E-2</v>
      </c>
      <c r="J977" s="34">
        <v>2.057280642069409E-2</v>
      </c>
      <c r="K977" s="34">
        <v>3.0859209631041128E-2</v>
      </c>
      <c r="L977" s="34">
        <v>2</v>
      </c>
      <c r="M977" s="34" t="s">
        <v>2082</v>
      </c>
      <c r="N977" s="37">
        <v>976</v>
      </c>
    </row>
    <row r="978" spans="1:14" x14ac:dyDescent="0.25">
      <c r="A978" s="34" t="s">
        <v>1845</v>
      </c>
      <c r="B978" s="34" t="s">
        <v>711</v>
      </c>
      <c r="C978" s="34" t="s">
        <v>989</v>
      </c>
      <c r="D978" s="34"/>
      <c r="E978" s="34"/>
      <c r="F978" s="34"/>
      <c r="G978" s="11">
        <v>2.21</v>
      </c>
      <c r="H978" s="39">
        <v>4.5082138454873237E-2</v>
      </c>
      <c r="I978" s="39">
        <v>4.5082138454873237E-2</v>
      </c>
      <c r="J978" s="34">
        <v>1.9139894262227689E-2</v>
      </c>
      <c r="K978" s="34">
        <v>2.8709841393341533E-2</v>
      </c>
      <c r="L978" s="34">
        <v>2</v>
      </c>
      <c r="M978" s="34" t="s">
        <v>2082</v>
      </c>
      <c r="N978" s="37">
        <v>977</v>
      </c>
    </row>
    <row r="979" spans="1:14" x14ac:dyDescent="0.25">
      <c r="A979" s="34" t="s">
        <v>1846</v>
      </c>
      <c r="B979" s="34" t="s">
        <v>712</v>
      </c>
      <c r="C979" s="34" t="s">
        <v>670</v>
      </c>
      <c r="D979" s="34"/>
      <c r="E979" s="34"/>
      <c r="F979" s="34"/>
      <c r="G979" s="11">
        <v>0.42999999999999827</v>
      </c>
      <c r="H979" s="39">
        <v>4.8351051302374173E-2</v>
      </c>
      <c r="I979" s="39">
        <v>4.8351051302374173E-2</v>
      </c>
      <c r="J979" s="34">
        <v>1.9342524325036504E-2</v>
      </c>
      <c r="K979" s="34">
        <v>2.9013786487554753E-2</v>
      </c>
      <c r="L979" s="34">
        <v>2</v>
      </c>
      <c r="M979" s="34" t="s">
        <v>2082</v>
      </c>
      <c r="N979" s="37">
        <v>978</v>
      </c>
    </row>
    <row r="980" spans="1:14" x14ac:dyDescent="0.25">
      <c r="A980" s="34" t="s">
        <v>1847</v>
      </c>
      <c r="B980" s="34" t="s">
        <v>713</v>
      </c>
      <c r="C980" s="34" t="s">
        <v>569</v>
      </c>
      <c r="D980" s="34"/>
      <c r="E980" s="34"/>
      <c r="F980" s="34"/>
      <c r="G980" s="11">
        <v>5.5699999999999994</v>
      </c>
      <c r="H980" s="39">
        <v>4.8063526901557303E-2</v>
      </c>
      <c r="I980" s="39">
        <v>4.8063526901557303E-2</v>
      </c>
      <c r="J980" s="34">
        <v>7.698225733928199E-3</v>
      </c>
      <c r="K980" s="34">
        <v>1.1547338600892298E-2</v>
      </c>
      <c r="L980" s="34">
        <v>2</v>
      </c>
      <c r="M980" s="34" t="s">
        <v>2082</v>
      </c>
      <c r="N980" s="37">
        <v>979</v>
      </c>
    </row>
    <row r="981" spans="1:14" x14ac:dyDescent="0.25">
      <c r="A981" s="34" t="s">
        <v>1848</v>
      </c>
      <c r="B981" s="34" t="s">
        <v>714</v>
      </c>
      <c r="C981" s="34" t="s">
        <v>990</v>
      </c>
      <c r="D981" s="34"/>
      <c r="E981" s="34"/>
      <c r="F981" s="7">
        <v>8.48</v>
      </c>
      <c r="G981" s="35">
        <v>0.28999999999999898</v>
      </c>
      <c r="H981" s="39">
        <v>4.3007069399468967E-2</v>
      </c>
      <c r="I981" s="39">
        <v>4.3007069399468967E-2</v>
      </c>
      <c r="J981" s="34">
        <v>1.911455325687424E-2</v>
      </c>
      <c r="K981" s="34">
        <v>2.8671829885311358E-2</v>
      </c>
      <c r="L981" s="34">
        <v>2</v>
      </c>
      <c r="M981" s="34" t="s">
        <v>2082</v>
      </c>
      <c r="N981" s="37">
        <v>980</v>
      </c>
    </row>
    <row r="982" spans="1:14" x14ac:dyDescent="0.25">
      <c r="A982" s="34" t="s">
        <v>1849</v>
      </c>
      <c r="B982" s="34" t="s">
        <v>715</v>
      </c>
      <c r="C982" s="34" t="s">
        <v>991</v>
      </c>
      <c r="D982" s="34"/>
      <c r="E982" s="34"/>
      <c r="F982" s="7">
        <v>4.09</v>
      </c>
      <c r="G982" s="35">
        <v>3.3200000000000118</v>
      </c>
      <c r="H982" s="39">
        <v>4.6443063678771969E-2</v>
      </c>
      <c r="I982" s="39">
        <v>4.6443063678771969E-2</v>
      </c>
      <c r="J982" s="34">
        <v>1.9499361572065634E-2</v>
      </c>
      <c r="K982" s="34">
        <v>2.9249042358098446E-2</v>
      </c>
      <c r="L982" s="34">
        <v>2</v>
      </c>
      <c r="M982" s="34" t="s">
        <v>2082</v>
      </c>
      <c r="N982" s="37">
        <v>981</v>
      </c>
    </row>
    <row r="983" spans="1:14" x14ac:dyDescent="0.25">
      <c r="A983" s="34" t="s">
        <v>1850</v>
      </c>
      <c r="B983" s="34" t="s">
        <v>716</v>
      </c>
      <c r="C983" s="34" t="s">
        <v>671</v>
      </c>
      <c r="D983" s="34"/>
      <c r="E983" s="34"/>
      <c r="F983" s="7">
        <v>0.54</v>
      </c>
      <c r="G983" s="35">
        <v>9.4999999999999876</v>
      </c>
      <c r="H983" s="39">
        <v>4.5992954156593692E-2</v>
      </c>
      <c r="I983" s="39">
        <v>4.5992954156593692E-2</v>
      </c>
      <c r="J983" s="34">
        <v>7.6312078677329281E-2</v>
      </c>
      <c r="K983" s="34">
        <v>0.11446811801599391</v>
      </c>
      <c r="L983" s="34">
        <v>2</v>
      </c>
      <c r="M983" s="34" t="s">
        <v>2082</v>
      </c>
      <c r="N983" s="37">
        <v>982</v>
      </c>
    </row>
    <row r="984" spans="1:14" x14ac:dyDescent="0.25">
      <c r="A984" s="34" t="s">
        <v>1851</v>
      </c>
      <c r="B984" s="34" t="s">
        <v>717</v>
      </c>
      <c r="C984" s="34" t="s">
        <v>672</v>
      </c>
      <c r="D984" s="34"/>
      <c r="E984" s="34"/>
      <c r="F984" s="34"/>
      <c r="G984" s="11">
        <v>2.4900000000000011</v>
      </c>
      <c r="H984" s="39">
        <v>4.7646678519329702E-2</v>
      </c>
      <c r="I984" s="39">
        <v>4.7646678519329702E-2</v>
      </c>
      <c r="J984" s="34">
        <v>0.12334615568113122</v>
      </c>
      <c r="K984" s="34">
        <v>0.1850192335216968</v>
      </c>
      <c r="L984" s="34">
        <v>2</v>
      </c>
      <c r="M984" s="34" t="s">
        <v>2082</v>
      </c>
      <c r="N984" s="37">
        <v>983</v>
      </c>
    </row>
    <row r="985" spans="1:14" x14ac:dyDescent="0.25">
      <c r="A985" s="34" t="s">
        <v>1852</v>
      </c>
      <c r="B985" s="34" t="s">
        <v>718</v>
      </c>
      <c r="C985" s="34" t="s">
        <v>673</v>
      </c>
      <c r="D985" s="34"/>
      <c r="E985" s="34"/>
      <c r="F985" s="7">
        <v>0.56999999999999995</v>
      </c>
      <c r="G985" s="35">
        <v>3.1</v>
      </c>
      <c r="H985" s="39">
        <v>4.5522342097890613E-2</v>
      </c>
      <c r="I985" s="39">
        <v>4.5522342097890613E-2</v>
      </c>
      <c r="J985" s="34">
        <v>0.21604279132422111</v>
      </c>
      <c r="K985" s="34">
        <v>0.32406418698633166</v>
      </c>
      <c r="L985" s="34">
        <v>2</v>
      </c>
      <c r="M985" s="34" t="s">
        <v>2082</v>
      </c>
      <c r="N985" s="37">
        <v>984</v>
      </c>
    </row>
    <row r="986" spans="1:14" x14ac:dyDescent="0.25">
      <c r="A986" s="34" t="s">
        <v>1853</v>
      </c>
      <c r="B986" s="34" t="s">
        <v>1017</v>
      </c>
      <c r="C986" s="34" t="s">
        <v>992</v>
      </c>
      <c r="D986" s="34"/>
      <c r="E986" s="34"/>
      <c r="F986" s="7">
        <v>5.44</v>
      </c>
      <c r="G986" s="35">
        <v>5.8000000000000007</v>
      </c>
      <c r="H986" s="39">
        <v>4.8602857681292293E-2</v>
      </c>
      <c r="I986" s="39">
        <v>4.8602857681292293E-2</v>
      </c>
      <c r="J986" s="34">
        <v>1.9449561376436473E-2</v>
      </c>
      <c r="K986" s="34">
        <v>2.9174342064654708E-2</v>
      </c>
      <c r="L986" s="34">
        <v>2</v>
      </c>
      <c r="M986" s="34" t="s">
        <v>2082</v>
      </c>
      <c r="N986" s="37">
        <v>985</v>
      </c>
    </row>
    <row r="987" spans="1:14" x14ac:dyDescent="0.25">
      <c r="A987" s="34" t="s">
        <v>1854</v>
      </c>
      <c r="B987" s="34" t="s">
        <v>1017</v>
      </c>
      <c r="C987" s="34" t="s">
        <v>674</v>
      </c>
      <c r="D987" s="34"/>
      <c r="E987" s="34"/>
      <c r="F987" s="7">
        <v>2.99</v>
      </c>
      <c r="G987" s="35">
        <v>0.1</v>
      </c>
      <c r="H987" s="39">
        <v>4.7715679913857549E-2</v>
      </c>
      <c r="I987" s="39">
        <v>4.7715679913857549E-2</v>
      </c>
      <c r="J987" s="34">
        <v>9.1368465631768245E-2</v>
      </c>
      <c r="K987" s="34">
        <v>0.13705269844765236</v>
      </c>
      <c r="L987" s="34">
        <v>2</v>
      </c>
      <c r="M987" s="34" t="s">
        <v>2082</v>
      </c>
      <c r="N987" s="37">
        <v>986</v>
      </c>
    </row>
    <row r="988" spans="1:14" x14ac:dyDescent="0.25">
      <c r="A988" s="3" t="s">
        <v>1855</v>
      </c>
      <c r="B988" s="3" t="s">
        <v>676</v>
      </c>
      <c r="C988" s="3" t="s">
        <v>677</v>
      </c>
      <c r="G988" s="4">
        <v>177.91</v>
      </c>
      <c r="H988" s="30">
        <v>3.3011926082027821E-3</v>
      </c>
      <c r="I988" s="30">
        <v>3.3011926082027821E-3</v>
      </c>
      <c r="J988" s="3">
        <v>7.4979544820417895E-3</v>
      </c>
      <c r="K988" s="3">
        <v>1.1246931723062684E-2</v>
      </c>
      <c r="L988" s="3">
        <v>2</v>
      </c>
      <c r="N988" s="5">
        <v>987</v>
      </c>
    </row>
    <row r="989" spans="1:14" x14ac:dyDescent="0.25">
      <c r="A989" s="3" t="s">
        <v>1856</v>
      </c>
      <c r="B989" s="3" t="s">
        <v>678</v>
      </c>
      <c r="C989" s="3" t="s">
        <v>291</v>
      </c>
      <c r="D989" s="3">
        <v>15.06</v>
      </c>
      <c r="E989" s="3">
        <v>15.06</v>
      </c>
      <c r="F989" s="3">
        <v>15.06</v>
      </c>
      <c r="G989" s="4">
        <v>15.06</v>
      </c>
      <c r="H989" s="30">
        <v>1.322665794728576E-2</v>
      </c>
      <c r="I989" s="30">
        <v>1.322665794728576E-2</v>
      </c>
      <c r="J989" s="3">
        <v>8.279962781250625E-3</v>
      </c>
      <c r="K989" s="3">
        <v>1.2419944171875936E-2</v>
      </c>
      <c r="L989" s="3">
        <v>2</v>
      </c>
      <c r="N989" s="5">
        <v>988</v>
      </c>
    </row>
    <row r="990" spans="1:14" x14ac:dyDescent="0.25">
      <c r="A990" s="3" t="s">
        <v>1857</v>
      </c>
      <c r="B990" s="3" t="s">
        <v>683</v>
      </c>
      <c r="C990" s="3" t="s">
        <v>1016</v>
      </c>
      <c r="D990" s="3">
        <v>53.46</v>
      </c>
      <c r="E990" s="3">
        <v>53.46</v>
      </c>
      <c r="F990" s="3">
        <v>53.46</v>
      </c>
      <c r="G990" s="4">
        <v>53.46</v>
      </c>
      <c r="H990" s="30">
        <v>1.823379389492114E-4</v>
      </c>
      <c r="I990" s="30">
        <v>1.823379389492114E-4</v>
      </c>
      <c r="J990" s="3">
        <v>2.7836947495795214E-4</v>
      </c>
      <c r="K990" s="3">
        <v>4.1755421243692823E-4</v>
      </c>
      <c r="L990" s="3">
        <v>2</v>
      </c>
      <c r="N990" s="5">
        <v>989</v>
      </c>
    </row>
    <row r="991" spans="1:14" x14ac:dyDescent="0.25">
      <c r="A991" s="3" t="s">
        <v>1858</v>
      </c>
      <c r="B991" s="3" t="s">
        <v>1016</v>
      </c>
      <c r="C991" s="3" t="s">
        <v>684</v>
      </c>
      <c r="G991" s="4">
        <v>53.26</v>
      </c>
      <c r="H991" s="30">
        <v>2.4845210425481412E-4</v>
      </c>
      <c r="I991" s="30">
        <v>2.4845210425481412E-4</v>
      </c>
      <c r="J991" s="3">
        <v>1.2422605212740706E-4</v>
      </c>
      <c r="K991" s="3">
        <v>1.8780231813808352E-4</v>
      </c>
      <c r="L991" s="3">
        <v>2</v>
      </c>
      <c r="N991" s="5">
        <v>990</v>
      </c>
    </row>
    <row r="992" spans="1:14" x14ac:dyDescent="0.25">
      <c r="A992" s="3" t="s">
        <v>1859</v>
      </c>
      <c r="B992" s="3" t="s">
        <v>690</v>
      </c>
      <c r="C992" s="3" t="s">
        <v>691</v>
      </c>
      <c r="D992" s="3">
        <v>36.130000000000003</v>
      </c>
      <c r="E992" s="3">
        <v>36.130000000000003</v>
      </c>
      <c r="F992" s="3">
        <v>36.130000000000003</v>
      </c>
      <c r="G992" s="4">
        <v>36.130000000000003</v>
      </c>
      <c r="H992" s="30">
        <v>2.3974164839125721E-4</v>
      </c>
      <c r="I992" s="30">
        <v>2.3974164839125721E-4</v>
      </c>
      <c r="J992" s="3">
        <v>3.5177263062992131E-5</v>
      </c>
      <c r="K992" s="3">
        <v>5.2765894594488196E-5</v>
      </c>
      <c r="L992" s="3">
        <v>2</v>
      </c>
      <c r="N992" s="5">
        <v>991</v>
      </c>
    </row>
    <row r="993" spans="1:14" x14ac:dyDescent="0.25">
      <c r="A993" s="3" t="s">
        <v>1860</v>
      </c>
      <c r="B993" s="3" t="s">
        <v>697</v>
      </c>
      <c r="C993" s="3" t="s">
        <v>698</v>
      </c>
      <c r="G993" s="4">
        <v>33.057499999999997</v>
      </c>
      <c r="H993" s="30">
        <v>2.7342243540837792E-3</v>
      </c>
      <c r="I993" s="30">
        <v>2.7342243540837792E-3</v>
      </c>
      <c r="J993" s="3">
        <f>I993*0.8</f>
        <v>2.1873794832670233E-3</v>
      </c>
      <c r="K993" s="3">
        <f>I993*1.2</f>
        <v>3.281069224900535E-3</v>
      </c>
      <c r="L993" s="3">
        <v>2</v>
      </c>
      <c r="N993" s="5">
        <v>992</v>
      </c>
    </row>
    <row r="994" spans="1:14" x14ac:dyDescent="0.25">
      <c r="A994" s="7" t="s">
        <v>1861</v>
      </c>
      <c r="B994" s="7" t="s">
        <v>701</v>
      </c>
      <c r="C994" s="7" t="s">
        <v>531</v>
      </c>
      <c r="D994" s="7"/>
      <c r="E994" s="7"/>
      <c r="F994" s="7"/>
      <c r="G994" s="11">
        <v>28.960000000000019</v>
      </c>
      <c r="H994" s="8">
        <v>40</v>
      </c>
      <c r="I994" s="31">
        <v>1.414688913570854E-3</v>
      </c>
      <c r="J994" s="7">
        <v>2.8293778271417081E-5</v>
      </c>
      <c r="K994" s="7">
        <v>7.0734445678542701E-2</v>
      </c>
      <c r="L994" s="7">
        <v>2</v>
      </c>
      <c r="M994" s="7"/>
      <c r="N994" s="8">
        <v>993</v>
      </c>
    </row>
    <row r="995" spans="1:14" x14ac:dyDescent="0.25">
      <c r="A995" s="3" t="s">
        <v>1862</v>
      </c>
      <c r="B995" s="3" t="s">
        <v>669</v>
      </c>
      <c r="C995" s="3" t="s">
        <v>705</v>
      </c>
      <c r="D995" s="3">
        <v>62.36</v>
      </c>
      <c r="E995" s="3">
        <v>62.36</v>
      </c>
      <c r="F995" s="3">
        <v>62.36</v>
      </c>
      <c r="G995" s="4">
        <v>62.36</v>
      </c>
      <c r="H995" s="30">
        <v>3.0790153466807692E-4</v>
      </c>
      <c r="I995" s="30">
        <v>3.0790153466807692E-4</v>
      </c>
      <c r="J995" s="3">
        <v>1.4138610784260864E-4</v>
      </c>
      <c r="K995" s="3">
        <v>2.1207916176391295E-4</v>
      </c>
      <c r="L995" s="3">
        <v>2</v>
      </c>
      <c r="N995" s="5">
        <v>994</v>
      </c>
    </row>
    <row r="996" spans="1:14" x14ac:dyDescent="0.25">
      <c r="A996" s="3" t="s">
        <v>1863</v>
      </c>
      <c r="B996" s="3" t="s">
        <v>706</v>
      </c>
      <c r="C996" s="3" t="s">
        <v>707</v>
      </c>
      <c r="D996" s="3">
        <v>50.59</v>
      </c>
      <c r="E996" s="3">
        <v>50.59</v>
      </c>
      <c r="F996" s="3">
        <v>50.59</v>
      </c>
      <c r="G996" s="4">
        <v>50.59</v>
      </c>
      <c r="H996" s="30">
        <v>2.9103731795037519E-4</v>
      </c>
      <c r="I996" s="30">
        <v>2.9103731795037519E-4</v>
      </c>
      <c r="J996" s="3">
        <v>1.357501354664357E-4</v>
      </c>
      <c r="K996" s="3">
        <v>2.036252031996535E-4</v>
      </c>
      <c r="L996" s="3">
        <v>2</v>
      </c>
      <c r="N996" s="5">
        <v>995</v>
      </c>
    </row>
    <row r="997" spans="1:14" x14ac:dyDescent="0.25">
      <c r="A997" s="3" t="s">
        <v>1864</v>
      </c>
      <c r="B997" s="3" t="s">
        <v>710</v>
      </c>
      <c r="C997" s="3" t="s">
        <v>711</v>
      </c>
      <c r="D997" s="3">
        <v>32.81</v>
      </c>
      <c r="E997" s="3">
        <v>32.81</v>
      </c>
      <c r="F997" s="3">
        <v>32.81</v>
      </c>
      <c r="G997" s="4">
        <v>32.81</v>
      </c>
      <c r="H997" s="30">
        <v>2.9913648287890698E-4</v>
      </c>
      <c r="I997" s="30">
        <v>2.9913648287890698E-4</v>
      </c>
      <c r="J997" s="3">
        <v>1.2283500631314026E-4</v>
      </c>
      <c r="K997" s="3">
        <v>1.8425250946971035E-4</v>
      </c>
      <c r="L997" s="3">
        <v>2</v>
      </c>
      <c r="N997" s="5">
        <v>996</v>
      </c>
    </row>
    <row r="998" spans="1:14" x14ac:dyDescent="0.25">
      <c r="A998" s="3" t="s">
        <v>1865</v>
      </c>
      <c r="B998" s="3" t="s">
        <v>712</v>
      </c>
      <c r="C998" s="3" t="s">
        <v>713</v>
      </c>
      <c r="D998" s="3">
        <v>30.17</v>
      </c>
      <c r="E998" s="3">
        <v>30.17</v>
      </c>
      <c r="F998" s="3">
        <v>30.17</v>
      </c>
      <c r="G998" s="4">
        <v>30.17</v>
      </c>
      <c r="H998" s="30">
        <v>3.9077096838807418E-4</v>
      </c>
      <c r="I998" s="30">
        <v>3.9077096838807418E-4</v>
      </c>
      <c r="J998" s="3">
        <v>2.2278325456817819E-4</v>
      </c>
      <c r="K998" s="3">
        <v>3.3417488185226728E-4</v>
      </c>
      <c r="L998" s="3">
        <v>2</v>
      </c>
      <c r="N998" s="5">
        <v>997</v>
      </c>
    </row>
    <row r="999" spans="1:14" x14ac:dyDescent="0.25">
      <c r="A999" s="3" t="s">
        <v>1866</v>
      </c>
      <c r="B999" s="3" t="s">
        <v>716</v>
      </c>
      <c r="C999" s="3" t="s">
        <v>717</v>
      </c>
      <c r="D999" s="3">
        <v>11.49</v>
      </c>
      <c r="E999" s="3">
        <v>11.49</v>
      </c>
      <c r="F999" s="3">
        <v>11.49</v>
      </c>
      <c r="G999" s="4">
        <v>11.49</v>
      </c>
      <c r="H999" s="30">
        <v>2.002068231815661E-4</v>
      </c>
      <c r="I999" s="30">
        <v>2.002068231815661E-4</v>
      </c>
      <c r="J999" s="3">
        <v>9.9481946790111689E-5</v>
      </c>
      <c r="K999" s="3">
        <v>1.4922292018516753E-4</v>
      </c>
      <c r="L999" s="3">
        <v>2</v>
      </c>
      <c r="N999" s="5">
        <v>998</v>
      </c>
    </row>
    <row r="1000" spans="1:14" x14ac:dyDescent="0.25">
      <c r="A1000" s="3" t="s">
        <v>1867</v>
      </c>
      <c r="B1000" s="3" t="s">
        <v>718</v>
      </c>
      <c r="C1000" s="3" t="s">
        <v>1017</v>
      </c>
      <c r="G1000" s="4">
        <v>5.9</v>
      </c>
      <c r="H1000" s="30">
        <v>1.9359612633697439E-4</v>
      </c>
      <c r="I1000" s="30">
        <v>1.9359612633697439E-4</v>
      </c>
      <c r="J1000" s="3">
        <f>I1000*0.1</f>
        <v>1.935961263369744E-5</v>
      </c>
      <c r="K1000" s="3">
        <f>I1000*10</f>
        <v>1.9359612633697439E-3</v>
      </c>
      <c r="L1000" s="3">
        <v>2</v>
      </c>
      <c r="N1000" s="5">
        <v>999</v>
      </c>
    </row>
    <row r="1001" spans="1:14" x14ac:dyDescent="0.25">
      <c r="A1001" s="3" t="s">
        <v>1868</v>
      </c>
      <c r="B1001" s="3" t="s">
        <v>765</v>
      </c>
      <c r="C1001" s="3" t="s">
        <v>743</v>
      </c>
      <c r="G1001" s="4">
        <v>0.1</v>
      </c>
      <c r="H1001" s="30">
        <v>3.2438601372985362E-2</v>
      </c>
      <c r="I1001" s="30">
        <v>3.2438601372985362E-2</v>
      </c>
      <c r="J1001" s="3">
        <v>2.5950881098388293E-2</v>
      </c>
      <c r="K1001" s="3">
        <v>3.8926321647582432E-2</v>
      </c>
      <c r="L1001" s="3">
        <v>2</v>
      </c>
      <c r="N1001" s="5">
        <v>1000</v>
      </c>
    </row>
    <row r="1002" spans="1:14" x14ac:dyDescent="0.25">
      <c r="A1002" s="3" t="s">
        <v>1869</v>
      </c>
      <c r="B1002" s="3" t="s">
        <v>773</v>
      </c>
      <c r="C1002" s="3" t="s">
        <v>748</v>
      </c>
      <c r="G1002" s="4">
        <v>1.3100000000000029</v>
      </c>
      <c r="H1002" s="30">
        <v>2.9258818029671861E-2</v>
      </c>
      <c r="I1002" s="30">
        <v>2.9258818029671861E-2</v>
      </c>
      <c r="J1002" s="3">
        <v>1.0237667488844466E-5</v>
      </c>
      <c r="K1002" s="3">
        <f>I1002*1.2</f>
        <v>3.5110581635606229E-2</v>
      </c>
      <c r="L1002" s="3">
        <v>2</v>
      </c>
      <c r="N1002" s="5">
        <v>1001</v>
      </c>
    </row>
    <row r="1003" spans="1:14" x14ac:dyDescent="0.25">
      <c r="A1003" s="3" t="s">
        <v>1870</v>
      </c>
      <c r="B1003" s="3" t="s">
        <v>444</v>
      </c>
      <c r="C1003" s="3" t="s">
        <v>1018</v>
      </c>
      <c r="G1003" s="4">
        <v>0.4</v>
      </c>
      <c r="H1003" s="30">
        <v>1.6739722360952971E-3</v>
      </c>
      <c r="I1003" s="30">
        <v>1.6739722360952971E-3</v>
      </c>
      <c r="J1003" s="3">
        <v>6.6997213614975067E-4</v>
      </c>
      <c r="K1003" s="3">
        <v>1.0049582042246259E-3</v>
      </c>
      <c r="L1003" s="3">
        <v>2</v>
      </c>
      <c r="N1003" s="5">
        <v>1002</v>
      </c>
    </row>
    <row r="1004" spans="1:14" x14ac:dyDescent="0.25">
      <c r="A1004" s="3" t="s">
        <v>1871</v>
      </c>
      <c r="B1004" s="3" t="s">
        <v>1018</v>
      </c>
      <c r="C1004" s="3" t="s">
        <v>719</v>
      </c>
      <c r="G1004" s="4">
        <v>0.1</v>
      </c>
      <c r="H1004" s="30">
        <v>5.0876174392947256E-3</v>
      </c>
      <c r="I1004" s="30">
        <v>5.0876174392947256E-3</v>
      </c>
      <c r="J1004" s="3">
        <v>2.1076976961569203E-3</v>
      </c>
      <c r="K1004" s="3">
        <v>3.1615465442353797E-3</v>
      </c>
      <c r="L1004" s="3">
        <v>2</v>
      </c>
      <c r="N1004" s="5">
        <v>1003</v>
      </c>
    </row>
    <row r="1005" spans="1:14" x14ac:dyDescent="0.25">
      <c r="A1005" s="3" t="s">
        <v>1872</v>
      </c>
      <c r="B1005" s="3" t="s">
        <v>1018</v>
      </c>
      <c r="C1005" s="3" t="s">
        <v>720</v>
      </c>
      <c r="G1005" s="4">
        <v>0.3</v>
      </c>
      <c r="H1005" s="30">
        <v>4.5783140770698809E-3</v>
      </c>
      <c r="I1005" s="30">
        <v>4.5783140770698809E-3</v>
      </c>
      <c r="J1005" s="3">
        <v>3.6626512616559047E-3</v>
      </c>
      <c r="K1005" s="3">
        <v>5.493976892483857E-3</v>
      </c>
      <c r="L1005" s="3">
        <v>2</v>
      </c>
      <c r="N1005" s="5">
        <v>1004</v>
      </c>
    </row>
    <row r="1006" spans="1:14" x14ac:dyDescent="0.25">
      <c r="A1006" s="3" t="s">
        <v>1873</v>
      </c>
      <c r="B1006" s="3" t="s">
        <v>719</v>
      </c>
      <c r="C1006" s="3" t="s">
        <v>723</v>
      </c>
      <c r="G1006" s="4">
        <v>1.0600000000000021</v>
      </c>
      <c r="H1006" s="30">
        <v>1.1817552216927591E-2</v>
      </c>
      <c r="I1006" s="30">
        <v>1.1817552216927591E-2</v>
      </c>
      <c r="J1006" s="3">
        <v>9.454041773542074E-3</v>
      </c>
      <c r="K1006" s="3">
        <v>1.4181062660313107E-2</v>
      </c>
      <c r="L1006" s="3">
        <v>2</v>
      </c>
      <c r="N1006" s="5">
        <v>1005</v>
      </c>
    </row>
    <row r="1007" spans="1:14" x14ac:dyDescent="0.25">
      <c r="A1007" s="3" t="s">
        <v>1874</v>
      </c>
      <c r="B1007" s="3" t="s">
        <v>720</v>
      </c>
      <c r="C1007" s="3" t="s">
        <v>722</v>
      </c>
      <c r="G1007" s="4">
        <v>0.1</v>
      </c>
      <c r="H1007" s="30">
        <v>1.477072200490657E-2</v>
      </c>
      <c r="I1007" s="30">
        <v>1.477072200490657E-2</v>
      </c>
      <c r="J1007" s="3">
        <v>1.1816577603925257E-2</v>
      </c>
      <c r="K1007" s="3">
        <v>1.7724866405887885E-2</v>
      </c>
      <c r="L1007" s="3">
        <v>2</v>
      </c>
      <c r="N1007" s="5">
        <v>1006</v>
      </c>
    </row>
    <row r="1008" spans="1:14" x14ac:dyDescent="0.25">
      <c r="A1008" s="3" t="s">
        <v>1875</v>
      </c>
      <c r="B1008" s="3" t="s">
        <v>721</v>
      </c>
      <c r="C1008" s="3" t="s">
        <v>1019</v>
      </c>
      <c r="G1008" s="4">
        <v>0.1</v>
      </c>
      <c r="H1008" s="30">
        <v>5.7584069922331227E-3</v>
      </c>
      <c r="I1008" s="30">
        <v>5.7584069922331227E-3</v>
      </c>
      <c r="J1008" s="3">
        <v>4.6067255937864982E-3</v>
      </c>
      <c r="K1008" s="3">
        <v>6.9100883906797472E-3</v>
      </c>
      <c r="L1008" s="3">
        <v>2</v>
      </c>
      <c r="N1008" s="5">
        <v>1007</v>
      </c>
    </row>
    <row r="1009" spans="1:14" x14ac:dyDescent="0.25">
      <c r="A1009" s="3" t="s">
        <v>1876</v>
      </c>
      <c r="B1009" s="3" t="s">
        <v>721</v>
      </c>
      <c r="C1009" s="3" t="s">
        <v>724</v>
      </c>
      <c r="G1009" s="4">
        <v>0.1</v>
      </c>
      <c r="H1009" s="30">
        <v>1.8379451349138071E-2</v>
      </c>
      <c r="I1009" s="30">
        <v>1.8379451349138071E-2</v>
      </c>
      <c r="J1009" s="3">
        <v>1.4703561079310458E-2</v>
      </c>
      <c r="K1009" s="3">
        <v>2.2055341618965683E-2</v>
      </c>
      <c r="L1009" s="3">
        <v>2</v>
      </c>
      <c r="N1009" s="5">
        <v>1008</v>
      </c>
    </row>
    <row r="1010" spans="1:14" x14ac:dyDescent="0.25">
      <c r="A1010" s="3" t="s">
        <v>1877</v>
      </c>
      <c r="B1010" s="3" t="s">
        <v>1019</v>
      </c>
      <c r="C1010" s="3" t="s">
        <v>724</v>
      </c>
      <c r="G1010" s="4">
        <v>14.54</v>
      </c>
      <c r="H1010" s="30">
        <v>6.5174622436080729E-3</v>
      </c>
      <c r="I1010" s="30">
        <v>6.5174622436080729E-3</v>
      </c>
      <c r="J1010" s="3">
        <v>4.603574931333337E-4</v>
      </c>
      <c r="K1010" s="3">
        <v>6.9053623970000047E-4</v>
      </c>
      <c r="L1010" s="3">
        <v>2</v>
      </c>
      <c r="N1010" s="5">
        <v>1009</v>
      </c>
    </row>
    <row r="1011" spans="1:14" x14ac:dyDescent="0.25">
      <c r="A1011" s="3" t="s">
        <v>1878</v>
      </c>
      <c r="B1011" s="3" t="s">
        <v>779</v>
      </c>
      <c r="C1011" s="3" t="s">
        <v>465</v>
      </c>
      <c r="G1011" s="4">
        <v>0.1</v>
      </c>
      <c r="H1011" s="30">
        <v>4.6758039123541654E-3</v>
      </c>
      <c r="I1011" s="30">
        <v>4.6758039123541654E-3</v>
      </c>
      <c r="J1011" s="3">
        <v>3.7406431298833325E-3</v>
      </c>
      <c r="K1011" s="3">
        <v>5.6109646948249983E-3</v>
      </c>
      <c r="L1011" s="3">
        <v>2</v>
      </c>
      <c r="N1011" s="5">
        <v>1010</v>
      </c>
    </row>
    <row r="1012" spans="1:14" x14ac:dyDescent="0.25">
      <c r="A1012" s="3" t="s">
        <v>1879</v>
      </c>
      <c r="B1012" s="3" t="s">
        <v>779</v>
      </c>
      <c r="C1012" s="3" t="s">
        <v>727</v>
      </c>
      <c r="G1012" s="4">
        <v>0.1</v>
      </c>
      <c r="H1012" s="30">
        <v>7.0407409495540233E-4</v>
      </c>
      <c r="I1012" s="30">
        <v>7.0407409495540233E-4</v>
      </c>
      <c r="J1012" s="3">
        <v>5.6325927596432191E-4</v>
      </c>
      <c r="K1012" s="3">
        <v>8.4488891394648275E-4</v>
      </c>
      <c r="L1012" s="3">
        <v>2</v>
      </c>
      <c r="N1012" s="5">
        <v>1011</v>
      </c>
    </row>
    <row r="1013" spans="1:14" x14ac:dyDescent="0.25">
      <c r="A1013" s="34" t="s">
        <v>1880</v>
      </c>
      <c r="B1013" s="34" t="s">
        <v>1020</v>
      </c>
      <c r="C1013" s="34" t="s">
        <v>728</v>
      </c>
      <c r="D1013" s="34"/>
      <c r="E1013" s="34"/>
      <c r="F1013" s="7">
        <v>10.44</v>
      </c>
      <c r="G1013" s="35">
        <v>0.1</v>
      </c>
      <c r="H1013" s="39">
        <v>8.9976346612751362E-3</v>
      </c>
      <c r="I1013" s="39">
        <v>8.9976346612751362E-3</v>
      </c>
      <c r="J1013" s="34">
        <v>6.6869926751698408E-2</v>
      </c>
      <c r="K1013" s="34">
        <v>0.10030489012754761</v>
      </c>
      <c r="L1013" s="34">
        <v>2</v>
      </c>
      <c r="M1013" s="34" t="s">
        <v>2101</v>
      </c>
      <c r="N1013" s="37">
        <v>1012</v>
      </c>
    </row>
    <row r="1014" spans="1:14" x14ac:dyDescent="0.25">
      <c r="A1014" s="3" t="s">
        <v>1881</v>
      </c>
      <c r="B1014" s="3" t="s">
        <v>1020</v>
      </c>
      <c r="C1014" s="3" t="s">
        <v>972</v>
      </c>
      <c r="G1014" s="4">
        <v>12.39</v>
      </c>
      <c r="H1014" s="30">
        <v>3.346713103173886E-3</v>
      </c>
      <c r="I1014" s="30">
        <v>3.346713103173886E-3</v>
      </c>
      <c r="J1014" s="3">
        <v>2.677370482539109E-3</v>
      </c>
      <c r="K1014" s="3">
        <v>4.0160557238086633E-3</v>
      </c>
      <c r="L1014" s="3">
        <v>2</v>
      </c>
      <c r="N1014" s="5">
        <v>1013</v>
      </c>
    </row>
    <row r="1015" spans="1:14" x14ac:dyDescent="0.25">
      <c r="A1015" s="3" t="s">
        <v>1882</v>
      </c>
      <c r="B1015" s="3" t="s">
        <v>1021</v>
      </c>
      <c r="C1015" s="3" t="s">
        <v>972</v>
      </c>
      <c r="G1015" s="4">
        <v>5.7499999999999956</v>
      </c>
      <c r="H1015" s="30">
        <v>8.0930064552067662E-3</v>
      </c>
      <c r="I1015" s="30">
        <v>8.0930064552067662E-3</v>
      </c>
      <c r="J1015" s="3">
        <v>6.0910023646564416E-4</v>
      </c>
      <c r="K1015" s="3">
        <v>9.1365035469846614E-4</v>
      </c>
      <c r="L1015" s="3">
        <v>2</v>
      </c>
      <c r="N1015" s="5">
        <v>1014</v>
      </c>
    </row>
    <row r="1016" spans="1:14" x14ac:dyDescent="0.25">
      <c r="A1016" s="3" t="s">
        <v>1883</v>
      </c>
      <c r="B1016" s="3" t="s">
        <v>1021</v>
      </c>
      <c r="C1016" s="3" t="s">
        <v>1020</v>
      </c>
      <c r="G1016" s="4">
        <v>12.49</v>
      </c>
      <c r="H1016" s="30">
        <v>1.1334944270765879E-3</v>
      </c>
      <c r="I1016" s="30">
        <v>1.1334944270765879E-3</v>
      </c>
      <c r="J1016" s="3">
        <v>1.3516730095917417E-3</v>
      </c>
      <c r="K1016" s="3">
        <v>2.0275095143876122E-3</v>
      </c>
      <c r="L1016" s="3">
        <v>2</v>
      </c>
      <c r="N1016" s="5">
        <v>1015</v>
      </c>
    </row>
    <row r="1017" spans="1:14" x14ac:dyDescent="0.25">
      <c r="A1017" s="3" t="s">
        <v>1884</v>
      </c>
      <c r="B1017" s="3" t="s">
        <v>1022</v>
      </c>
      <c r="C1017" s="3" t="s">
        <v>1021</v>
      </c>
      <c r="D1017" s="3">
        <v>18.239999999999998</v>
      </c>
      <c r="E1017" s="3">
        <v>18.239999999999998</v>
      </c>
      <c r="F1017" s="3">
        <v>18.239999999999998</v>
      </c>
      <c r="G1017" s="4">
        <v>18.239999999999998</v>
      </c>
      <c r="H1017" s="30">
        <v>1.9187090143692289E-3</v>
      </c>
      <c r="I1017" s="30">
        <v>1.9187090143692289E-3</v>
      </c>
      <c r="J1017" s="3">
        <v>2.1648612731098894E-3</v>
      </c>
      <c r="K1017" s="3">
        <v>3.2472919096648342E-3</v>
      </c>
      <c r="L1017" s="3">
        <v>2</v>
      </c>
      <c r="N1017" s="5">
        <v>1016</v>
      </c>
    </row>
    <row r="1018" spans="1:14" x14ac:dyDescent="0.25">
      <c r="A1018" s="3" t="s">
        <v>1885</v>
      </c>
      <c r="B1018" s="3" t="s">
        <v>729</v>
      </c>
      <c r="C1018" s="3" t="s">
        <v>730</v>
      </c>
      <c r="G1018" s="4">
        <v>5.5200000000000014</v>
      </c>
      <c r="H1018" s="30">
        <v>5.1419359745305763E-3</v>
      </c>
      <c r="I1018" s="30">
        <v>5.1419359745305763E-3</v>
      </c>
      <c r="J1018" s="3">
        <v>4.1135487796244612E-3</v>
      </c>
      <c r="K1018" s="3">
        <v>6.1703231694366914E-3</v>
      </c>
      <c r="L1018" s="3">
        <v>2</v>
      </c>
      <c r="N1018" s="5">
        <v>1017</v>
      </c>
    </row>
    <row r="1019" spans="1:14" x14ac:dyDescent="0.25">
      <c r="A1019" s="3" t="s">
        <v>1886</v>
      </c>
      <c r="B1019" s="3" t="s">
        <v>729</v>
      </c>
      <c r="C1019" s="3" t="s">
        <v>1022</v>
      </c>
      <c r="G1019" s="4">
        <v>7.0699999999999994</v>
      </c>
      <c r="H1019" s="30">
        <v>7.152786604188977E-3</v>
      </c>
      <c r="I1019" s="30">
        <v>7.152786604188977E-3</v>
      </c>
      <c r="J1019" s="3">
        <v>5.7222292833511816E-3</v>
      </c>
      <c r="K1019" s="3">
        <v>8.5833439250267724E-3</v>
      </c>
      <c r="L1019" s="3">
        <v>2</v>
      </c>
      <c r="N1019" s="5">
        <v>1018</v>
      </c>
    </row>
    <row r="1020" spans="1:14" x14ac:dyDescent="0.25">
      <c r="A1020" s="3" t="s">
        <v>1887</v>
      </c>
      <c r="B1020" s="3" t="s">
        <v>731</v>
      </c>
      <c r="C1020" s="3" t="s">
        <v>1022</v>
      </c>
      <c r="D1020" s="3">
        <v>11.17</v>
      </c>
      <c r="E1020" s="3">
        <v>11.17</v>
      </c>
      <c r="F1020" s="3">
        <v>11.17</v>
      </c>
      <c r="G1020" s="4">
        <v>11.17</v>
      </c>
      <c r="H1020" s="30">
        <v>7.5190519238374793E-3</v>
      </c>
      <c r="I1020" s="30">
        <v>7.5190519238374793E-3</v>
      </c>
      <c r="J1020" s="3">
        <v>6.0152415390699841E-3</v>
      </c>
      <c r="K1020" s="3">
        <v>9.0228623086049745E-3</v>
      </c>
      <c r="L1020" s="3">
        <v>2</v>
      </c>
      <c r="N1020" s="5">
        <v>1019</v>
      </c>
    </row>
    <row r="1021" spans="1:14" x14ac:dyDescent="0.25">
      <c r="A1021" s="3" t="s">
        <v>1888</v>
      </c>
      <c r="B1021" s="3" t="s">
        <v>733</v>
      </c>
      <c r="C1021" s="3" t="s">
        <v>730</v>
      </c>
      <c r="D1021" s="3">
        <v>3.57</v>
      </c>
      <c r="E1021" s="3">
        <v>3.57</v>
      </c>
      <c r="F1021" s="3">
        <v>3.57</v>
      </c>
      <c r="G1021" s="4">
        <v>3.57</v>
      </c>
      <c r="H1021" s="30">
        <v>2.5112895866531851E-3</v>
      </c>
      <c r="I1021" s="30">
        <v>2.5112895866531851E-3</v>
      </c>
      <c r="J1021" s="3">
        <v>2.009031669322548E-3</v>
      </c>
      <c r="K1021" s="3">
        <v>3.0135475039838222E-3</v>
      </c>
      <c r="L1021" s="3">
        <v>2</v>
      </c>
      <c r="N1021" s="5">
        <v>1020</v>
      </c>
    </row>
    <row r="1022" spans="1:14" x14ac:dyDescent="0.25">
      <c r="A1022" s="3" t="s">
        <v>1889</v>
      </c>
      <c r="B1022" s="3" t="s">
        <v>733</v>
      </c>
      <c r="C1022" s="3" t="s">
        <v>734</v>
      </c>
      <c r="G1022" s="4">
        <v>1.9799999999999991</v>
      </c>
      <c r="H1022" s="30">
        <v>2.1444113082329198E-3</v>
      </c>
      <c r="I1022" s="30">
        <v>2.1444113082329198E-3</v>
      </c>
      <c r="J1022" s="3">
        <v>1.7155290465863358E-3</v>
      </c>
      <c r="K1022" s="3">
        <v>2.5732935698795038E-3</v>
      </c>
      <c r="L1022" s="3">
        <v>2</v>
      </c>
      <c r="N1022" s="5">
        <v>1021</v>
      </c>
    </row>
    <row r="1023" spans="1:14" x14ac:dyDescent="0.25">
      <c r="A1023" s="3" t="s">
        <v>1890</v>
      </c>
      <c r="B1023" s="3" t="s">
        <v>732</v>
      </c>
      <c r="C1023" s="3" t="s">
        <v>1023</v>
      </c>
      <c r="G1023" s="4">
        <v>8.7200000000000006</v>
      </c>
      <c r="H1023" s="30">
        <v>7.3004692499169469E-3</v>
      </c>
      <c r="I1023" s="30">
        <v>7.3004692499169469E-3</v>
      </c>
      <c r="J1023" s="3">
        <v>5.8403753999335577E-3</v>
      </c>
      <c r="K1023" s="3">
        <v>8.7605630999003353E-3</v>
      </c>
      <c r="L1023" s="3">
        <v>2</v>
      </c>
      <c r="N1023" s="5">
        <v>1022</v>
      </c>
    </row>
    <row r="1024" spans="1:14" x14ac:dyDescent="0.25">
      <c r="A1024" s="3" t="s">
        <v>1891</v>
      </c>
      <c r="B1024" s="3" t="s">
        <v>736</v>
      </c>
      <c r="C1024" s="3" t="s">
        <v>734</v>
      </c>
      <c r="G1024" s="4">
        <v>0.1</v>
      </c>
      <c r="H1024" s="30">
        <v>3.5302540915515122E-2</v>
      </c>
      <c r="I1024" s="30">
        <v>3.5302540915515122E-2</v>
      </c>
      <c r="J1024" s="3">
        <v>3.4819490584317735E-2</v>
      </c>
      <c r="K1024" s="3">
        <v>5.2229235876476592E-2</v>
      </c>
      <c r="L1024" s="3">
        <v>2</v>
      </c>
      <c r="N1024" s="5">
        <v>1023</v>
      </c>
    </row>
    <row r="1025" spans="1:14" x14ac:dyDescent="0.25">
      <c r="A1025" s="3" t="s">
        <v>1892</v>
      </c>
      <c r="B1025" s="3" t="s">
        <v>736</v>
      </c>
      <c r="C1025" s="3" t="s">
        <v>750</v>
      </c>
      <c r="G1025" s="4">
        <v>1.72</v>
      </c>
      <c r="H1025" s="30">
        <v>2.117722223138039E-2</v>
      </c>
      <c r="I1025" s="30">
        <v>2.117722223138039E-2</v>
      </c>
      <c r="J1025" s="3">
        <v>1.6941777785104313E-2</v>
      </c>
      <c r="K1025" s="3">
        <v>2.5412666677656466E-2</v>
      </c>
      <c r="L1025" s="3">
        <v>2</v>
      </c>
      <c r="N1025" s="5">
        <v>1024</v>
      </c>
    </row>
    <row r="1026" spans="1:14" x14ac:dyDescent="0.25">
      <c r="A1026" s="3" t="s">
        <v>1893</v>
      </c>
      <c r="B1026" s="3" t="s">
        <v>735</v>
      </c>
      <c r="C1026" s="3" t="s">
        <v>752</v>
      </c>
      <c r="G1026" s="4">
        <v>0.57999999999999974</v>
      </c>
      <c r="H1026" s="30">
        <v>2.108495162323127E-2</v>
      </c>
      <c r="I1026" s="30">
        <v>2.108495162323127E-2</v>
      </c>
      <c r="J1026" s="3">
        <v>1.395348833479668E-2</v>
      </c>
      <c r="K1026" s="3">
        <v>2.0930232502195018E-2</v>
      </c>
      <c r="L1026" s="3">
        <v>2</v>
      </c>
      <c r="N1026" s="5">
        <v>1025</v>
      </c>
    </row>
    <row r="1027" spans="1:14" x14ac:dyDescent="0.25">
      <c r="A1027" s="3" t="s">
        <v>1894</v>
      </c>
      <c r="B1027" s="3" t="s">
        <v>737</v>
      </c>
      <c r="C1027" s="3" t="s">
        <v>753</v>
      </c>
      <c r="G1027" s="4">
        <v>1.5700000000000021</v>
      </c>
      <c r="H1027" s="30">
        <v>2.1254130890697429E-2</v>
      </c>
      <c r="I1027" s="30">
        <v>2.1254130890697429E-2</v>
      </c>
      <c r="J1027" s="3">
        <v>1.7003304712557944E-2</v>
      </c>
      <c r="K1027" s="3">
        <v>2.5504957068836914E-2</v>
      </c>
      <c r="L1027" s="3">
        <v>2</v>
      </c>
      <c r="N1027" s="5">
        <v>1026</v>
      </c>
    </row>
    <row r="1028" spans="1:14" x14ac:dyDescent="0.25">
      <c r="A1028" s="3" t="s">
        <v>1895</v>
      </c>
      <c r="B1028" s="3" t="s">
        <v>741</v>
      </c>
      <c r="C1028" s="3" t="s">
        <v>742</v>
      </c>
      <c r="G1028" s="4">
        <v>5.3599999999999994</v>
      </c>
      <c r="H1028" s="30">
        <v>5.4507097770724808E-3</v>
      </c>
      <c r="I1028" s="30">
        <v>5.4507097770724808E-3</v>
      </c>
      <c r="J1028" s="3">
        <v>4.3904827277974822E-3</v>
      </c>
      <c r="K1028" s="3">
        <v>6.5857240916962238E-3</v>
      </c>
      <c r="L1028" s="3">
        <v>2</v>
      </c>
      <c r="N1028" s="5">
        <v>1027</v>
      </c>
    </row>
    <row r="1029" spans="1:14" x14ac:dyDescent="0.25">
      <c r="A1029" s="3" t="s">
        <v>1896</v>
      </c>
      <c r="B1029" s="3" t="s">
        <v>742</v>
      </c>
      <c r="C1029" s="3" t="s">
        <v>763</v>
      </c>
      <c r="G1029" s="4">
        <v>0.3</v>
      </c>
      <c r="H1029" s="30">
        <v>1.8756903660064571E-2</v>
      </c>
      <c r="I1029" s="30">
        <v>1.8756903660064571E-2</v>
      </c>
      <c r="J1029" s="3">
        <v>9.3784518300322854E-3</v>
      </c>
      <c r="K1029" s="3">
        <v>3.7513807320129142E-2</v>
      </c>
      <c r="L1029" s="3">
        <v>2</v>
      </c>
      <c r="N1029" s="5">
        <v>1028</v>
      </c>
    </row>
    <row r="1030" spans="1:14" x14ac:dyDescent="0.25">
      <c r="A1030" s="3" t="s">
        <v>1897</v>
      </c>
      <c r="B1030" s="3" t="s">
        <v>744</v>
      </c>
      <c r="C1030" s="3" t="s">
        <v>767</v>
      </c>
      <c r="G1030" s="4">
        <v>0.1</v>
      </c>
      <c r="H1030" s="30">
        <v>2.881021271984396E-2</v>
      </c>
      <c r="I1030" s="30">
        <v>2.881021271984396E-2</v>
      </c>
      <c r="J1030" s="3">
        <v>2.3048170175875168E-2</v>
      </c>
      <c r="K1030" s="3">
        <v>3.4572255263812753E-2</v>
      </c>
      <c r="L1030" s="3">
        <v>2</v>
      </c>
      <c r="N1030" s="5">
        <v>1029</v>
      </c>
    </row>
    <row r="1031" spans="1:14" x14ac:dyDescent="0.25">
      <c r="A1031" s="3" t="s">
        <v>1898</v>
      </c>
      <c r="B1031" s="3" t="s">
        <v>746</v>
      </c>
      <c r="C1031" s="3" t="s">
        <v>769</v>
      </c>
      <c r="G1031" s="4">
        <v>2.0500000000000012</v>
      </c>
      <c r="H1031" s="30">
        <v>2.908795067251552E-2</v>
      </c>
      <c r="I1031" s="30">
        <v>2.908795067251552E-2</v>
      </c>
      <c r="J1031" s="3">
        <v>1.454397533625776E-2</v>
      </c>
      <c r="K1031" s="3">
        <v>5.8175901345031041E-2</v>
      </c>
      <c r="L1031" s="3">
        <v>2</v>
      </c>
      <c r="N1031" s="5">
        <v>1030</v>
      </c>
    </row>
    <row r="1032" spans="1:14" x14ac:dyDescent="0.25">
      <c r="A1032" s="3" t="s">
        <v>1899</v>
      </c>
      <c r="B1032" s="3" t="s">
        <v>755</v>
      </c>
      <c r="C1032" s="3" t="s">
        <v>738</v>
      </c>
      <c r="G1032" s="4">
        <v>4.0700000000000021</v>
      </c>
      <c r="H1032" s="30">
        <v>1.8403129474452051E-2</v>
      </c>
      <c r="I1032" s="30">
        <v>1.8403129474452051E-2</v>
      </c>
      <c r="J1032" s="3">
        <v>1.4722503579561641E-2</v>
      </c>
      <c r="K1032" s="3">
        <v>2.2083755369342459E-2</v>
      </c>
      <c r="L1032" s="3">
        <v>2</v>
      </c>
      <c r="N1032" s="5">
        <v>1031</v>
      </c>
    </row>
    <row r="1033" spans="1:14" x14ac:dyDescent="0.25">
      <c r="A1033" s="3" t="s">
        <v>1900</v>
      </c>
      <c r="B1033" s="3" t="s">
        <v>757</v>
      </c>
      <c r="C1033" s="3" t="s">
        <v>739</v>
      </c>
      <c r="G1033" s="4">
        <v>1.86</v>
      </c>
      <c r="H1033" s="30">
        <v>2.2610303787886359E-2</v>
      </c>
      <c r="I1033" s="30">
        <v>2.2610303787886359E-2</v>
      </c>
      <c r="J1033" s="3">
        <v>1.8088243030309089E-2</v>
      </c>
      <c r="K1033" s="3">
        <v>2.7132364545463628E-2</v>
      </c>
      <c r="L1033" s="3">
        <v>2</v>
      </c>
      <c r="N1033" s="5">
        <v>1032</v>
      </c>
    </row>
    <row r="1034" spans="1:14" x14ac:dyDescent="0.25">
      <c r="A1034" s="3" t="s">
        <v>1901</v>
      </c>
      <c r="B1034" s="3" t="s">
        <v>759</v>
      </c>
      <c r="C1034" s="3" t="s">
        <v>740</v>
      </c>
      <c r="G1034" s="4">
        <v>0.51000000000000012</v>
      </c>
      <c r="H1034" s="30">
        <v>1.84174222292319E-2</v>
      </c>
      <c r="I1034" s="30">
        <v>1.84174222292319E-2</v>
      </c>
      <c r="J1034" s="3">
        <v>7.8061152021687112E-3</v>
      </c>
      <c r="K1034" s="3">
        <v>1.1709172803253065E-2</v>
      </c>
      <c r="L1034" s="3">
        <v>2</v>
      </c>
      <c r="N1034" s="5">
        <v>1033</v>
      </c>
    </row>
    <row r="1035" spans="1:14" x14ac:dyDescent="0.25">
      <c r="A1035" s="3" t="s">
        <v>1902</v>
      </c>
      <c r="B1035" s="3" t="s">
        <v>760</v>
      </c>
      <c r="C1035" s="3" t="s">
        <v>797</v>
      </c>
      <c r="G1035" s="4">
        <v>0.1</v>
      </c>
      <c r="H1035" s="30">
        <v>1.308472211092794E-2</v>
      </c>
      <c r="I1035" s="30">
        <v>1.308472211092794E-2</v>
      </c>
      <c r="J1035" s="3">
        <v>1.0467777688742352E-2</v>
      </c>
      <c r="K1035" s="3">
        <v>1.5701666533113529E-2</v>
      </c>
      <c r="L1035" s="3">
        <v>2</v>
      </c>
      <c r="N1035" s="5">
        <v>1034</v>
      </c>
    </row>
    <row r="1036" spans="1:14" x14ac:dyDescent="0.25">
      <c r="A1036" s="3" t="s">
        <v>1903</v>
      </c>
      <c r="B1036" s="3" t="s">
        <v>761</v>
      </c>
      <c r="C1036" s="3" t="s">
        <v>741</v>
      </c>
      <c r="G1036" s="4">
        <v>2.89</v>
      </c>
      <c r="H1036" s="30">
        <v>1.523161674171686E-2</v>
      </c>
      <c r="I1036" s="30">
        <v>1.523161674171686E-2</v>
      </c>
      <c r="J1036" s="3">
        <v>8.814869091231697E-3</v>
      </c>
      <c r="K1036" s="3">
        <v>7.8206682992491033E-2</v>
      </c>
      <c r="L1036" s="3">
        <v>2</v>
      </c>
      <c r="N1036" s="5">
        <v>1035</v>
      </c>
    </row>
    <row r="1037" spans="1:14" x14ac:dyDescent="0.25">
      <c r="A1037" s="3" t="s">
        <v>1904</v>
      </c>
      <c r="B1037" s="3" t="s">
        <v>762</v>
      </c>
      <c r="C1037" s="3" t="s">
        <v>798</v>
      </c>
      <c r="G1037" s="4">
        <v>0.1</v>
      </c>
      <c r="H1037" s="30">
        <v>2.8790398947822021E-2</v>
      </c>
      <c r="I1037" s="30">
        <v>2.8790398947822021E-2</v>
      </c>
      <c r="J1037" s="3">
        <v>2.3032319158257618E-2</v>
      </c>
      <c r="K1037" s="3">
        <v>3.4548478737386423E-2</v>
      </c>
      <c r="L1037" s="3">
        <v>2</v>
      </c>
      <c r="N1037" s="5">
        <v>1036</v>
      </c>
    </row>
    <row r="1038" spans="1:14" x14ac:dyDescent="0.25">
      <c r="A1038" s="3" t="s">
        <v>1905</v>
      </c>
      <c r="B1038" s="3" t="s">
        <v>764</v>
      </c>
      <c r="C1038" s="3" t="s">
        <v>799</v>
      </c>
      <c r="G1038" s="4">
        <v>0.1</v>
      </c>
      <c r="H1038" s="30">
        <v>3.045269757446388E-2</v>
      </c>
      <c r="I1038" s="30">
        <v>3.045269757446388E-2</v>
      </c>
      <c r="J1038" s="3">
        <v>2.4362158059571107E-2</v>
      </c>
      <c r="K1038" s="3">
        <v>3.6543237089356653E-2</v>
      </c>
      <c r="L1038" s="3">
        <v>2</v>
      </c>
      <c r="N1038" s="5">
        <v>1037</v>
      </c>
    </row>
    <row r="1039" spans="1:14" x14ac:dyDescent="0.25">
      <c r="A1039" s="3" t="s">
        <v>1906</v>
      </c>
      <c r="B1039" s="3" t="s">
        <v>766</v>
      </c>
      <c r="C1039" s="3" t="s">
        <v>800</v>
      </c>
      <c r="G1039" s="4">
        <v>0.1</v>
      </c>
      <c r="H1039" s="30">
        <v>2.2170505671019969E-2</v>
      </c>
      <c r="I1039" s="30">
        <v>2.2170505671019969E-2</v>
      </c>
      <c r="J1039" s="3">
        <v>8.8744901141262472E-3</v>
      </c>
      <c r="K1039" s="3">
        <v>1.3311735171189372E-2</v>
      </c>
      <c r="L1039" s="3">
        <v>2</v>
      </c>
      <c r="N1039" s="5">
        <v>1038</v>
      </c>
    </row>
    <row r="1040" spans="1:14" x14ac:dyDescent="0.25">
      <c r="A1040" s="3" t="s">
        <v>1907</v>
      </c>
      <c r="B1040" s="3" t="s">
        <v>767</v>
      </c>
      <c r="C1040" s="3" t="s">
        <v>768</v>
      </c>
      <c r="G1040" s="4">
        <v>0.2</v>
      </c>
      <c r="H1040" s="30">
        <v>6.4411841148920702E-4</v>
      </c>
      <c r="I1040" s="30">
        <v>6.4411841148920702E-4</v>
      </c>
      <c r="J1040" s="3">
        <v>5.1529472919136562E-4</v>
      </c>
      <c r="K1040" s="3">
        <v>7.7294209378704843E-4</v>
      </c>
      <c r="L1040" s="3">
        <v>2</v>
      </c>
      <c r="N1040" s="5">
        <v>1039</v>
      </c>
    </row>
    <row r="1041" spans="1:14" x14ac:dyDescent="0.25">
      <c r="A1041" s="3" t="s">
        <v>1908</v>
      </c>
      <c r="B1041" s="3" t="s">
        <v>768</v>
      </c>
      <c r="C1041" s="3" t="s">
        <v>801</v>
      </c>
      <c r="G1041" s="4">
        <v>33.769999999999989</v>
      </c>
      <c r="H1041" s="30">
        <v>4.0089075612753031E-2</v>
      </c>
      <c r="I1041" s="30">
        <v>4.0089075612753031E-2</v>
      </c>
      <c r="J1041" s="3">
        <v>2.0044537806376515E-2</v>
      </c>
      <c r="K1041" s="3">
        <v>3.2147369539588647E-2</v>
      </c>
      <c r="L1041" s="3">
        <v>2</v>
      </c>
      <c r="N1041" s="5">
        <v>1040</v>
      </c>
    </row>
    <row r="1042" spans="1:14" x14ac:dyDescent="0.25">
      <c r="A1042" s="3" t="s">
        <v>1909</v>
      </c>
      <c r="B1042" s="3" t="s">
        <v>770</v>
      </c>
      <c r="C1042" s="3" t="s">
        <v>1009</v>
      </c>
      <c r="G1042" s="4">
        <v>1.5700000000000029</v>
      </c>
      <c r="H1042" s="30">
        <v>2.2917813530591271E-2</v>
      </c>
      <c r="I1042" s="30">
        <v>2.2917813530591271E-2</v>
      </c>
      <c r="J1042" s="3">
        <v>1.8334250824473017E-2</v>
      </c>
      <c r="K1042" s="3">
        <v>2.7501376236709524E-2</v>
      </c>
      <c r="L1042" s="3">
        <v>2</v>
      </c>
      <c r="N1042" s="5">
        <v>1041</v>
      </c>
    </row>
    <row r="1043" spans="1:14" x14ac:dyDescent="0.25">
      <c r="A1043" s="3" t="s">
        <v>1910</v>
      </c>
      <c r="B1043" s="3" t="s">
        <v>771</v>
      </c>
      <c r="C1043" s="3" t="s">
        <v>747</v>
      </c>
      <c r="G1043" s="4">
        <v>0.1</v>
      </c>
      <c r="H1043" s="30">
        <v>2.9124515802635819E-2</v>
      </c>
      <c r="I1043" s="30">
        <v>2.9124515802635819E-2</v>
      </c>
      <c r="J1043" s="3">
        <v>2.3299612642108655E-2</v>
      </c>
      <c r="K1043" s="3">
        <v>3.4949418963162983E-2</v>
      </c>
      <c r="L1043" s="3">
        <v>2</v>
      </c>
      <c r="N1043" s="5">
        <v>1042</v>
      </c>
    </row>
    <row r="1044" spans="1:14" x14ac:dyDescent="0.25">
      <c r="A1044" s="3" t="s">
        <v>1911</v>
      </c>
      <c r="B1044" s="3" t="s">
        <v>772</v>
      </c>
      <c r="C1044" s="3" t="s">
        <v>803</v>
      </c>
      <c r="G1044" s="4">
        <v>2.6500000000000008</v>
      </c>
      <c r="H1044" s="30">
        <v>3.3313155993650367E-2</v>
      </c>
      <c r="I1044" s="30">
        <v>3.3313155993650367E-2</v>
      </c>
      <c r="J1044" s="3">
        <v>2.6650524794920295E-2</v>
      </c>
      <c r="K1044" s="3">
        <v>3.9975787192380437E-2</v>
      </c>
      <c r="L1044" s="3">
        <v>2</v>
      </c>
      <c r="N1044" s="5">
        <v>1043</v>
      </c>
    </row>
    <row r="1045" spans="1:14" x14ac:dyDescent="0.25">
      <c r="A1045" s="3" t="s">
        <v>1912</v>
      </c>
      <c r="B1045" s="3" t="s">
        <v>774</v>
      </c>
      <c r="C1045" s="3" t="s">
        <v>804</v>
      </c>
      <c r="G1045" s="4">
        <v>1.5099999999999969</v>
      </c>
      <c r="H1045" s="30">
        <v>2.980181278190611E-2</v>
      </c>
      <c r="I1045" s="30">
        <v>2.980181278190611E-2</v>
      </c>
      <c r="J1045" s="3">
        <v>2.3841450225524891E-2</v>
      </c>
      <c r="K1045" s="3">
        <v>3.5762175338287329E-2</v>
      </c>
      <c r="L1045" s="3">
        <v>2</v>
      </c>
      <c r="N1045" s="5">
        <v>1044</v>
      </c>
    </row>
    <row r="1046" spans="1:14" x14ac:dyDescent="0.25">
      <c r="A1046" s="3" t="s">
        <v>1913</v>
      </c>
      <c r="B1046" s="3" t="s">
        <v>775</v>
      </c>
      <c r="C1046" s="3" t="s">
        <v>749</v>
      </c>
      <c r="G1046" s="4">
        <v>7.0549999999999997</v>
      </c>
      <c r="H1046" s="30">
        <v>2.9665539405208548E-2</v>
      </c>
      <c r="I1046" s="30">
        <v>2.9665539405208548E-2</v>
      </c>
      <c r="J1046" s="3">
        <v>7.515717925250175E-3</v>
      </c>
      <c r="K1046" s="3">
        <v>1.1273576887875262E-2</v>
      </c>
      <c r="L1046" s="3">
        <v>2</v>
      </c>
      <c r="N1046" s="5">
        <v>1045</v>
      </c>
    </row>
    <row r="1047" spans="1:14" x14ac:dyDescent="0.25">
      <c r="A1047" s="3" t="s">
        <v>1914</v>
      </c>
      <c r="B1047" s="3" t="s">
        <v>776</v>
      </c>
      <c r="C1047" s="3" t="s">
        <v>805</v>
      </c>
      <c r="G1047" s="4">
        <v>0.1</v>
      </c>
      <c r="H1047" s="30">
        <v>2.9141798851313391E-2</v>
      </c>
      <c r="I1047" s="30">
        <v>2.9141798851313391E-2</v>
      </c>
      <c r="J1047" s="3">
        <v>2.3313439081050713E-2</v>
      </c>
      <c r="K1047" s="3">
        <v>3.497015862157607E-2</v>
      </c>
      <c r="L1047" s="3">
        <v>2</v>
      </c>
      <c r="N1047" s="5">
        <v>1046</v>
      </c>
    </row>
    <row r="1048" spans="1:14" x14ac:dyDescent="0.25">
      <c r="A1048" s="3" t="s">
        <v>1915</v>
      </c>
      <c r="B1048" s="3" t="s">
        <v>777</v>
      </c>
      <c r="C1048" s="3" t="s">
        <v>1024</v>
      </c>
      <c r="G1048" s="4">
        <v>1.7050000000000021</v>
      </c>
      <c r="H1048" s="30">
        <v>1.111719699808732E-2</v>
      </c>
      <c r="I1048" s="30">
        <v>1.111719699808732E-2</v>
      </c>
      <c r="J1048" s="3">
        <v>8.8937575984698574E-3</v>
      </c>
      <c r="K1048" s="3">
        <v>1.3340636397704784E-2</v>
      </c>
      <c r="L1048" s="3">
        <v>2</v>
      </c>
      <c r="N1048" s="5">
        <v>1047</v>
      </c>
    </row>
    <row r="1049" spans="1:14" x14ac:dyDescent="0.25">
      <c r="A1049" s="3" t="s">
        <v>1916</v>
      </c>
      <c r="B1049" s="3" t="s">
        <v>777</v>
      </c>
      <c r="C1049" s="3" t="s">
        <v>806</v>
      </c>
      <c r="G1049" s="4">
        <v>0.1</v>
      </c>
      <c r="H1049" s="30">
        <v>2.8191677513338911E-2</v>
      </c>
      <c r="I1049" s="30">
        <v>2.8191677513338911E-2</v>
      </c>
      <c r="J1049" s="3">
        <v>1.8548215972856025E-2</v>
      </c>
      <c r="K1049" s="3">
        <v>2.7822323959284037E-2</v>
      </c>
      <c r="L1049" s="3">
        <v>2</v>
      </c>
      <c r="N1049" s="5">
        <v>1048</v>
      </c>
    </row>
    <row r="1050" spans="1:14" x14ac:dyDescent="0.25">
      <c r="A1050" s="3" t="s">
        <v>1917</v>
      </c>
      <c r="B1050" s="3" t="s">
        <v>1024</v>
      </c>
      <c r="C1050" s="3" t="s">
        <v>1015</v>
      </c>
      <c r="G1050" s="4">
        <v>1.605000000000002</v>
      </c>
      <c r="H1050" s="30">
        <v>1.0776549615681939E-2</v>
      </c>
      <c r="I1050" s="30">
        <v>1.0776549615681939E-2</v>
      </c>
      <c r="J1050" s="3">
        <v>8.6212396925455514E-3</v>
      </c>
      <c r="K1050" s="3">
        <v>1.2931859538818327E-2</v>
      </c>
      <c r="L1050" s="3">
        <v>2</v>
      </c>
      <c r="N1050" s="5">
        <v>1049</v>
      </c>
    </row>
    <row r="1051" spans="1:14" x14ac:dyDescent="0.25">
      <c r="A1051" s="3" t="s">
        <v>1918</v>
      </c>
      <c r="B1051" s="3" t="s">
        <v>1024</v>
      </c>
      <c r="C1051" s="3" t="s">
        <v>807</v>
      </c>
      <c r="G1051" s="4">
        <v>0.1</v>
      </c>
      <c r="H1051" s="30">
        <v>1.337437312647121E-2</v>
      </c>
      <c r="I1051" s="30">
        <v>1.337437312647121E-2</v>
      </c>
      <c r="J1051" s="3">
        <v>1.3145927711758593E-2</v>
      </c>
      <c r="K1051" s="3">
        <v>1.9718891567637887E-2</v>
      </c>
      <c r="L1051" s="3">
        <v>2</v>
      </c>
      <c r="N1051" s="5">
        <v>1050</v>
      </c>
    </row>
    <row r="1052" spans="1:14" x14ac:dyDescent="0.25">
      <c r="A1052" s="3" t="s">
        <v>1919</v>
      </c>
      <c r="B1052" s="3" t="s">
        <v>778</v>
      </c>
      <c r="C1052" s="3" t="s">
        <v>780</v>
      </c>
      <c r="G1052" s="4">
        <v>0.1</v>
      </c>
      <c r="H1052" s="30">
        <v>6.9837269973566296E-3</v>
      </c>
      <c r="I1052" s="30">
        <v>6.9837269973566296E-3</v>
      </c>
      <c r="J1052" s="3">
        <v>7.7113449232606174E-3</v>
      </c>
      <c r="K1052" s="3">
        <v>1.1567017384890925E-2</v>
      </c>
      <c r="L1052" s="3">
        <v>2</v>
      </c>
      <c r="N1052" s="5">
        <v>1051</v>
      </c>
    </row>
    <row r="1053" spans="1:14" x14ac:dyDescent="0.25">
      <c r="A1053" s="3" t="s">
        <v>1920</v>
      </c>
      <c r="B1053" s="3" t="s">
        <v>782</v>
      </c>
      <c r="C1053" s="3" t="s">
        <v>791</v>
      </c>
      <c r="G1053" s="4">
        <v>8.9200000000000017</v>
      </c>
      <c r="H1053" s="30">
        <v>2.2453967877104279E-3</v>
      </c>
      <c r="I1053" s="30">
        <v>2.2453967877104279E-3</v>
      </c>
      <c r="J1053" s="3">
        <v>1.7963174301683423E-3</v>
      </c>
      <c r="K1053" s="3">
        <v>2.6944761452525135E-3</v>
      </c>
      <c r="L1053" s="3">
        <v>2</v>
      </c>
      <c r="N1053" s="5">
        <v>1052</v>
      </c>
    </row>
    <row r="1054" spans="1:14" x14ac:dyDescent="0.25">
      <c r="A1054" s="3" t="s">
        <v>1921</v>
      </c>
      <c r="B1054" s="3" t="s">
        <v>1023</v>
      </c>
      <c r="C1054" s="3" t="s">
        <v>782</v>
      </c>
      <c r="G1054" s="4">
        <v>8.620000000000001</v>
      </c>
      <c r="H1054" s="30">
        <v>2.5330703792952269E-3</v>
      </c>
      <c r="I1054" s="30">
        <v>2.5330703792952269E-3</v>
      </c>
      <c r="J1054" s="3">
        <v>1.7204734994764423E-3</v>
      </c>
      <c r="K1054" s="3">
        <v>2.5807102492146632E-3</v>
      </c>
      <c r="L1054" s="3">
        <v>2</v>
      </c>
      <c r="N1054" s="5">
        <v>1053</v>
      </c>
    </row>
    <row r="1055" spans="1:14" x14ac:dyDescent="0.25">
      <c r="A1055" s="3" t="s">
        <v>1922</v>
      </c>
      <c r="B1055" s="3" t="s">
        <v>1023</v>
      </c>
      <c r="C1055" s="3" t="s">
        <v>781</v>
      </c>
      <c r="G1055" s="4">
        <v>0.1</v>
      </c>
      <c r="H1055" s="30">
        <v>3.8904609957042479E-3</v>
      </c>
      <c r="I1055" s="30">
        <v>3.8904609957042479E-3</v>
      </c>
      <c r="J1055" s="3">
        <v>3.1123687965633985E-3</v>
      </c>
      <c r="K1055" s="3">
        <v>4.6685531948450973E-3</v>
      </c>
      <c r="L1055" s="3">
        <v>2</v>
      </c>
      <c r="N1055" s="5">
        <v>1054</v>
      </c>
    </row>
    <row r="1056" spans="1:14" x14ac:dyDescent="0.25">
      <c r="A1056" s="3" t="s">
        <v>1923</v>
      </c>
      <c r="B1056" s="3" t="s">
        <v>783</v>
      </c>
      <c r="C1056" s="3" t="s">
        <v>784</v>
      </c>
      <c r="G1056" s="4">
        <v>0.1</v>
      </c>
      <c r="H1056" s="30">
        <v>3.1039623661615811E-3</v>
      </c>
      <c r="I1056" s="30">
        <v>3.1039623661615811E-3</v>
      </c>
      <c r="J1056" s="3">
        <v>2.4831698929292652E-3</v>
      </c>
      <c r="K1056" s="3">
        <v>3.7247548393938971E-3</v>
      </c>
      <c r="L1056" s="3">
        <v>2</v>
      </c>
      <c r="N1056" s="5">
        <v>1055</v>
      </c>
    </row>
    <row r="1057" spans="1:14" x14ac:dyDescent="0.25">
      <c r="A1057" s="3" t="s">
        <v>1924</v>
      </c>
      <c r="B1057" s="3" t="s">
        <v>784</v>
      </c>
      <c r="C1057" s="3" t="s">
        <v>780</v>
      </c>
      <c r="G1057" s="4">
        <v>0.1</v>
      </c>
      <c r="H1057" s="30">
        <v>3.483951303096886E-3</v>
      </c>
      <c r="I1057" s="30">
        <v>3.483951303096886E-3</v>
      </c>
      <c r="J1057" s="3">
        <v>2.7871610424775092E-3</v>
      </c>
      <c r="K1057" s="3">
        <v>4.1807415637162629E-3</v>
      </c>
      <c r="L1057" s="3">
        <v>2</v>
      </c>
      <c r="N1057" s="5">
        <v>1056</v>
      </c>
    </row>
    <row r="1058" spans="1:14" x14ac:dyDescent="0.25">
      <c r="A1058" s="3" t="s">
        <v>1925</v>
      </c>
      <c r="B1058" s="3" t="s">
        <v>784</v>
      </c>
      <c r="C1058" s="3" t="s">
        <v>793</v>
      </c>
      <c r="G1058" s="4">
        <v>0.1</v>
      </c>
      <c r="H1058" s="30">
        <v>5.3675172393619014E-3</v>
      </c>
      <c r="I1058" s="30">
        <v>5.3675172393619014E-3</v>
      </c>
      <c r="J1058" s="3">
        <v>4.2940137914895217E-3</v>
      </c>
      <c r="K1058" s="3">
        <v>6.4410206872342812E-3</v>
      </c>
      <c r="L1058" s="3">
        <v>2</v>
      </c>
      <c r="N1058" s="5">
        <v>1057</v>
      </c>
    </row>
    <row r="1059" spans="1:14" x14ac:dyDescent="0.25">
      <c r="A1059" s="3" t="s">
        <v>1926</v>
      </c>
      <c r="B1059" s="3" t="s">
        <v>787</v>
      </c>
      <c r="C1059" s="3" t="s">
        <v>785</v>
      </c>
      <c r="G1059" s="4">
        <v>0.1</v>
      </c>
      <c r="H1059" s="30">
        <v>2.8161324095447538E-3</v>
      </c>
      <c r="I1059" s="30">
        <v>2.8161324095447538E-3</v>
      </c>
      <c r="J1059" s="3">
        <v>3.9928169609155127E-3</v>
      </c>
      <c r="K1059" s="3">
        <v>5.9892254413732695E-3</v>
      </c>
      <c r="L1059" s="3">
        <v>2</v>
      </c>
      <c r="N1059" s="5">
        <v>1058</v>
      </c>
    </row>
    <row r="1060" spans="1:14" x14ac:dyDescent="0.25">
      <c r="A1060" s="3" t="s">
        <v>1927</v>
      </c>
      <c r="B1060" s="3" t="s">
        <v>788</v>
      </c>
      <c r="C1060" s="3" t="s">
        <v>793</v>
      </c>
      <c r="G1060" s="4">
        <v>3.770000000000004</v>
      </c>
      <c r="H1060" s="30">
        <v>7.0277671320739454E-3</v>
      </c>
      <c r="I1060" s="30">
        <v>7.0277671320739454E-3</v>
      </c>
      <c r="J1060" s="3">
        <v>5.622213705659157E-3</v>
      </c>
      <c r="K1060" s="3">
        <v>8.4333205584887338E-3</v>
      </c>
      <c r="L1060" s="3">
        <v>2</v>
      </c>
      <c r="N1060" s="5">
        <v>1059</v>
      </c>
    </row>
    <row r="1061" spans="1:14" x14ac:dyDescent="0.25">
      <c r="A1061" s="3" t="s">
        <v>1928</v>
      </c>
      <c r="B1061" s="3" t="s">
        <v>1025</v>
      </c>
      <c r="C1061" s="3" t="s">
        <v>791</v>
      </c>
      <c r="G1061" s="4">
        <v>0.1</v>
      </c>
      <c r="H1061" s="30">
        <v>7.2517941484150144E-3</v>
      </c>
      <c r="I1061" s="30">
        <v>7.2517941484150144E-3</v>
      </c>
      <c r="J1061" s="3">
        <v>5.8014353187320119E-3</v>
      </c>
      <c r="K1061" s="3">
        <v>8.702152978098017E-3</v>
      </c>
      <c r="L1061" s="3">
        <v>2</v>
      </c>
      <c r="N1061" s="5">
        <v>1060</v>
      </c>
    </row>
    <row r="1062" spans="1:14" x14ac:dyDescent="0.25">
      <c r="A1062" s="3" t="s">
        <v>1929</v>
      </c>
      <c r="B1062" s="3" t="s">
        <v>1025</v>
      </c>
      <c r="C1062" s="3" t="s">
        <v>792</v>
      </c>
      <c r="G1062" s="4">
        <v>0.1</v>
      </c>
      <c r="H1062" s="30">
        <v>7.1404565327982889E-3</v>
      </c>
      <c r="I1062" s="30">
        <v>7.1404565327982889E-3</v>
      </c>
      <c r="J1062" s="3">
        <v>5.7123652262386316E-3</v>
      </c>
      <c r="K1062" s="3">
        <v>8.568547839357947E-3</v>
      </c>
      <c r="L1062" s="3">
        <v>2</v>
      </c>
      <c r="N1062" s="5">
        <v>1061</v>
      </c>
    </row>
    <row r="1063" spans="1:14" x14ac:dyDescent="0.25">
      <c r="A1063" s="3" t="s">
        <v>1930</v>
      </c>
      <c r="B1063" s="3" t="s">
        <v>751</v>
      </c>
      <c r="C1063" s="3" t="s">
        <v>1025</v>
      </c>
      <c r="G1063" s="4">
        <v>0.2</v>
      </c>
      <c r="H1063" s="30">
        <v>4.9827334430871039E-3</v>
      </c>
      <c r="I1063" s="30">
        <v>4.9827334430871039E-3</v>
      </c>
      <c r="J1063" s="3">
        <v>3.986186754469683E-3</v>
      </c>
      <c r="K1063" s="3">
        <v>5.9792801317045249E-3</v>
      </c>
      <c r="L1063" s="3">
        <v>2</v>
      </c>
      <c r="N1063" s="5">
        <v>1062</v>
      </c>
    </row>
    <row r="1064" spans="1:14" x14ac:dyDescent="0.25">
      <c r="A1064" s="3" t="s">
        <v>1931</v>
      </c>
      <c r="B1064" s="3" t="s">
        <v>802</v>
      </c>
      <c r="C1064" s="3" t="s">
        <v>1009</v>
      </c>
      <c r="G1064" s="4">
        <v>17.499999999999989</v>
      </c>
      <c r="H1064" s="30">
        <v>1.6274529280549249E-3</v>
      </c>
      <c r="I1064" s="30">
        <v>1.6274529280549249E-3</v>
      </c>
      <c r="J1064" s="3">
        <f>I1064*0.1</f>
        <v>1.627452928054925E-4</v>
      </c>
      <c r="K1064" s="3">
        <f>I1064*10</f>
        <v>1.627452928054925E-2</v>
      </c>
      <c r="L1064" s="3">
        <v>2</v>
      </c>
      <c r="N1064" s="5">
        <v>1063</v>
      </c>
    </row>
    <row r="1065" spans="1:14" x14ac:dyDescent="0.25">
      <c r="A1065" s="3" t="s">
        <v>1932</v>
      </c>
      <c r="B1065" s="3" t="s">
        <v>807</v>
      </c>
      <c r="C1065" s="3" t="s">
        <v>1015</v>
      </c>
      <c r="G1065" s="4">
        <v>21.329999999999991</v>
      </c>
      <c r="H1065" s="30">
        <v>5.5011902593556979E-3</v>
      </c>
      <c r="I1065" s="30">
        <v>5.5011902593556979E-3</v>
      </c>
      <c r="J1065" s="3">
        <f>I1065*0.8</f>
        <v>4.4009522074845587E-3</v>
      </c>
      <c r="K1065" s="3">
        <f>I1065*1.2</f>
        <v>6.6014283112268372E-3</v>
      </c>
      <c r="L1065" s="3">
        <v>2</v>
      </c>
      <c r="N1065" s="5">
        <v>1064</v>
      </c>
    </row>
    <row r="1066" spans="1:14" x14ac:dyDescent="0.25">
      <c r="A1066" s="3" t="s">
        <v>1933</v>
      </c>
      <c r="B1066" s="3" t="s">
        <v>946</v>
      </c>
      <c r="C1066" s="3" t="s">
        <v>756</v>
      </c>
      <c r="G1066" s="4">
        <v>0.20000000000000451</v>
      </c>
      <c r="H1066" s="30">
        <v>9.8301030785937389E-3</v>
      </c>
      <c r="I1066" s="30">
        <v>9.8301030785937389E-3</v>
      </c>
      <c r="J1066" s="3">
        <v>7.6975104594743443E-3</v>
      </c>
      <c r="K1066" s="3">
        <v>1.9660206157187478E-2</v>
      </c>
      <c r="L1066" s="3">
        <v>2</v>
      </c>
      <c r="N1066" s="5">
        <v>1065</v>
      </c>
    </row>
    <row r="1067" spans="1:14" x14ac:dyDescent="0.25">
      <c r="A1067" s="3" t="s">
        <v>1934</v>
      </c>
      <c r="B1067" s="3" t="s">
        <v>1026</v>
      </c>
      <c r="C1067" s="3" t="s">
        <v>789</v>
      </c>
      <c r="G1067" s="4">
        <v>4.3700000000000028</v>
      </c>
      <c r="H1067" s="30">
        <v>1.73887422215733E-2</v>
      </c>
      <c r="I1067" s="30">
        <v>1.73887422215733E-2</v>
      </c>
      <c r="J1067" s="3">
        <v>1.3910993777258641E-2</v>
      </c>
      <c r="K1067" s="3">
        <v>2.0866490665887961E-2</v>
      </c>
      <c r="L1067" s="3">
        <v>2</v>
      </c>
      <c r="N1067" s="5">
        <v>1066</v>
      </c>
    </row>
    <row r="1068" spans="1:14" x14ac:dyDescent="0.25">
      <c r="A1068" s="3" t="s">
        <v>1935</v>
      </c>
      <c r="B1068" s="3" t="s">
        <v>1026</v>
      </c>
      <c r="C1068" s="3" t="s">
        <v>795</v>
      </c>
      <c r="G1068" s="4">
        <v>0.2</v>
      </c>
      <c r="H1068" s="30">
        <v>4.6705296897448078E-3</v>
      </c>
      <c r="I1068" s="30">
        <v>4.6705296897448078E-3</v>
      </c>
      <c r="J1068" s="3">
        <v>3.2713138211537488E-3</v>
      </c>
      <c r="K1068" s="3">
        <v>4.9069707317306224E-3</v>
      </c>
      <c r="L1068" s="3">
        <v>2</v>
      </c>
      <c r="N1068" s="5">
        <v>1067</v>
      </c>
    </row>
    <row r="1069" spans="1:14" x14ac:dyDescent="0.25">
      <c r="A1069" s="3" t="s">
        <v>1936</v>
      </c>
      <c r="B1069" s="3" t="s">
        <v>946</v>
      </c>
      <c r="C1069" s="3" t="s">
        <v>1026</v>
      </c>
      <c r="G1069" s="4">
        <v>4.5700000000000038</v>
      </c>
      <c r="H1069" s="30">
        <v>7.7236038210310824E-3</v>
      </c>
      <c r="I1069" s="30">
        <v>7.7236038210310824E-3</v>
      </c>
      <c r="J1069" s="3">
        <v>3.090478011863431E-3</v>
      </c>
      <c r="K1069" s="3">
        <v>4.6357170177951466E-3</v>
      </c>
      <c r="L1069" s="3">
        <v>2</v>
      </c>
      <c r="N1069" s="5">
        <v>1068</v>
      </c>
    </row>
    <row r="1070" spans="1:14" x14ac:dyDescent="0.25">
      <c r="A1070" s="3" t="s">
        <v>1937</v>
      </c>
      <c r="B1070" s="3" t="s">
        <v>931</v>
      </c>
      <c r="C1070" s="3" t="s">
        <v>1027</v>
      </c>
      <c r="G1070" s="4">
        <v>11.75</v>
      </c>
      <c r="H1070" s="30">
        <v>1.7386489488406261E-3</v>
      </c>
      <c r="I1070" s="30">
        <v>1.7386489488406261E-3</v>
      </c>
      <c r="J1070" s="3">
        <v>1.3909191590725008E-3</v>
      </c>
      <c r="K1070" s="3">
        <v>2.0863787386087513E-3</v>
      </c>
      <c r="L1070" s="3">
        <v>2</v>
      </c>
      <c r="N1070" s="5">
        <v>1069</v>
      </c>
    </row>
    <row r="1071" spans="1:14" x14ac:dyDescent="0.25">
      <c r="A1071" s="3" t="s">
        <v>1938</v>
      </c>
      <c r="B1071" s="3" t="s">
        <v>1027</v>
      </c>
      <c r="C1071" s="3" t="s">
        <v>808</v>
      </c>
      <c r="G1071" s="4">
        <v>11.85</v>
      </c>
      <c r="H1071" s="30">
        <v>1.9576507746178699E-3</v>
      </c>
      <c r="I1071" s="30">
        <v>1.9576507746178699E-3</v>
      </c>
      <c r="J1071" s="3">
        <v>1.5661206196942959E-3</v>
      </c>
      <c r="K1071" s="3">
        <v>2.3491809295414436E-3</v>
      </c>
      <c r="L1071" s="3">
        <v>2</v>
      </c>
      <c r="N1071" s="5">
        <v>1070</v>
      </c>
    </row>
    <row r="1072" spans="1:14" x14ac:dyDescent="0.25">
      <c r="A1072" s="3" t="s">
        <v>1939</v>
      </c>
      <c r="B1072" s="3" t="s">
        <v>808</v>
      </c>
      <c r="C1072" s="3" t="s">
        <v>810</v>
      </c>
      <c r="G1072" s="4">
        <v>0.1</v>
      </c>
      <c r="H1072" s="30">
        <v>1.8474462990497209E-2</v>
      </c>
      <c r="I1072" s="30">
        <v>1.8474462990497209E-2</v>
      </c>
      <c r="J1072" s="3">
        <v>3.6948925980994419E-3</v>
      </c>
      <c r="K1072" s="3">
        <v>3.6948925980994418E-2</v>
      </c>
      <c r="L1072" s="3">
        <v>2</v>
      </c>
      <c r="N1072" s="5">
        <v>1071</v>
      </c>
    </row>
    <row r="1073" spans="1:14" x14ac:dyDescent="0.25">
      <c r="A1073" s="3" t="s">
        <v>1940</v>
      </c>
      <c r="B1073" s="3" t="s">
        <v>809</v>
      </c>
      <c r="C1073" s="3" t="s">
        <v>812</v>
      </c>
      <c r="G1073" s="4">
        <v>9.9</v>
      </c>
      <c r="H1073" s="30">
        <v>1.072207534967211E-2</v>
      </c>
      <c r="I1073" s="30">
        <v>1.072207534967211E-2</v>
      </c>
      <c r="J1073" s="3">
        <v>8.5776602797376887E-3</v>
      </c>
      <c r="K1073" s="3">
        <v>1.2866490419606531E-2</v>
      </c>
      <c r="L1073" s="3">
        <v>2</v>
      </c>
      <c r="N1073" s="5">
        <v>1072</v>
      </c>
    </row>
    <row r="1074" spans="1:14" x14ac:dyDescent="0.25">
      <c r="A1074" s="3" t="s">
        <v>1941</v>
      </c>
      <c r="B1074" s="3" t="s">
        <v>812</v>
      </c>
      <c r="C1074" s="3" t="s">
        <v>794</v>
      </c>
      <c r="G1074" s="4">
        <v>12.25</v>
      </c>
      <c r="H1074" s="30">
        <v>8.3072921679286631E-3</v>
      </c>
      <c r="I1074" s="30">
        <v>8.3072921679286631E-3</v>
      </c>
      <c r="J1074" s="3">
        <v>9.779520922336922E-3</v>
      </c>
      <c r="K1074" s="3">
        <v>1.466928138350538E-2</v>
      </c>
      <c r="L1074" s="3">
        <v>2</v>
      </c>
      <c r="N1074" s="5">
        <v>1073</v>
      </c>
    </row>
    <row r="1075" spans="1:14" x14ac:dyDescent="0.25">
      <c r="A1075" s="3" t="s">
        <v>1942</v>
      </c>
      <c r="B1075" s="3" t="s">
        <v>424</v>
      </c>
      <c r="C1075" s="3" t="s">
        <v>931</v>
      </c>
      <c r="D1075" s="3">
        <v>11.65</v>
      </c>
      <c r="E1075" s="3">
        <v>11.65</v>
      </c>
      <c r="F1075" s="3">
        <v>11.65</v>
      </c>
      <c r="G1075" s="4">
        <v>11.65</v>
      </c>
      <c r="H1075" s="30">
        <v>4.9803017247277738E-2</v>
      </c>
      <c r="I1075" s="30">
        <v>4.9803017247277738E-2</v>
      </c>
      <c r="J1075" s="3">
        <v>3.984241379782219E-2</v>
      </c>
      <c r="K1075" s="3">
        <v>5.9763620696733286E-2</v>
      </c>
      <c r="L1075" s="3">
        <v>2</v>
      </c>
      <c r="N1075" s="5">
        <v>1074</v>
      </c>
    </row>
    <row r="1076" spans="1:14" x14ac:dyDescent="0.25">
      <c r="A1076" s="3" t="s">
        <v>1943</v>
      </c>
      <c r="B1076" s="3" t="s">
        <v>879</v>
      </c>
      <c r="C1076" s="3" t="s">
        <v>1027</v>
      </c>
      <c r="G1076" s="4">
        <v>0.1</v>
      </c>
      <c r="H1076" s="30">
        <v>1.16986745676434E-2</v>
      </c>
      <c r="I1076" s="30">
        <v>1.16986745676434E-2</v>
      </c>
      <c r="J1076" s="3">
        <v>5.8493372838217001E-3</v>
      </c>
      <c r="K1076" s="3">
        <v>2.33973491352868E-2</v>
      </c>
      <c r="L1076" s="3">
        <v>2</v>
      </c>
      <c r="N1076" s="5">
        <v>1075</v>
      </c>
    </row>
    <row r="1077" spans="1:14" x14ac:dyDescent="0.25">
      <c r="A1077" s="3" t="s">
        <v>1944</v>
      </c>
      <c r="B1077" s="3" t="s">
        <v>840</v>
      </c>
      <c r="C1077" s="3" t="s">
        <v>811</v>
      </c>
      <c r="G1077" s="4">
        <v>0.4</v>
      </c>
      <c r="H1077" s="30">
        <v>6.8980073831939603E-3</v>
      </c>
      <c r="I1077" s="30">
        <v>6.8980073831939603E-3</v>
      </c>
      <c r="J1077" s="3">
        <v>6.3962359270142918E-3</v>
      </c>
      <c r="K1077" s="3">
        <v>9.5943538905214377E-3</v>
      </c>
      <c r="L1077" s="3">
        <v>2</v>
      </c>
      <c r="N1077" s="5">
        <v>1076</v>
      </c>
    </row>
    <row r="1078" spans="1:14" x14ac:dyDescent="0.25">
      <c r="A1078" s="3" t="s">
        <v>1945</v>
      </c>
      <c r="B1078" s="3" t="s">
        <v>965</v>
      </c>
      <c r="C1078" s="3" t="s">
        <v>1028</v>
      </c>
      <c r="D1078" s="3">
        <v>2.77</v>
      </c>
      <c r="E1078" s="3">
        <v>2.77</v>
      </c>
      <c r="F1078" s="3">
        <v>2.77</v>
      </c>
      <c r="G1078" s="4">
        <v>2.77</v>
      </c>
      <c r="H1078" s="30">
        <v>1.8569685479911931E-3</v>
      </c>
      <c r="I1078" s="30">
        <v>1.8569685479911931E-3</v>
      </c>
      <c r="J1078" s="3">
        <v>1.4855748383929546E-3</v>
      </c>
      <c r="K1078" s="3">
        <v>2.2283622575894318E-3</v>
      </c>
      <c r="L1078" s="3">
        <v>2</v>
      </c>
      <c r="N1078" s="5">
        <v>1077</v>
      </c>
    </row>
    <row r="1079" spans="1:14" x14ac:dyDescent="0.25">
      <c r="A1079" s="3" t="s">
        <v>1946</v>
      </c>
      <c r="B1079" s="3" t="s">
        <v>1028</v>
      </c>
      <c r="C1079" s="3" t="s">
        <v>1029</v>
      </c>
      <c r="G1079" s="4">
        <v>58.85</v>
      </c>
      <c r="H1079" s="30">
        <v>6.4041239311920161E-4</v>
      </c>
      <c r="I1079" s="30">
        <v>6.4041239311920161E-4</v>
      </c>
      <c r="J1079" s="3">
        <v>2.1225245144737803E-4</v>
      </c>
      <c r="K1079" s="3">
        <v>3.1837867717106702E-4</v>
      </c>
      <c r="L1079" s="3">
        <v>2</v>
      </c>
      <c r="N1079" s="5">
        <v>1078</v>
      </c>
    </row>
    <row r="1080" spans="1:14" x14ac:dyDescent="0.25">
      <c r="A1080" s="3" t="s">
        <v>1947</v>
      </c>
      <c r="B1080" s="3" t="s">
        <v>863</v>
      </c>
      <c r="C1080" s="3" t="s">
        <v>1028</v>
      </c>
      <c r="G1080" s="4">
        <v>56.080000000000013</v>
      </c>
      <c r="H1080" s="30">
        <v>3.0469457849758639E-3</v>
      </c>
      <c r="I1080" s="30">
        <v>3.0469457849758639E-3</v>
      </c>
      <c r="J1080" s="3">
        <v>1.3458095626771019E-3</v>
      </c>
      <c r="K1080" s="3">
        <v>2.0187143440156523E-3</v>
      </c>
      <c r="L1080" s="3">
        <v>2</v>
      </c>
      <c r="N1080" s="5">
        <v>1079</v>
      </c>
    </row>
    <row r="1081" spans="1:14" x14ac:dyDescent="0.25">
      <c r="A1081" s="3" t="s">
        <v>1948</v>
      </c>
      <c r="B1081" s="3" t="s">
        <v>862</v>
      </c>
      <c r="C1081" s="3" t="s">
        <v>879</v>
      </c>
      <c r="G1081" s="4">
        <v>56.279999999999987</v>
      </c>
      <c r="H1081" s="30">
        <v>1.022328514336022E-3</v>
      </c>
      <c r="I1081" s="30">
        <v>1.022328514336022E-3</v>
      </c>
      <c r="J1081" s="3">
        <v>4.9016409627255109E-4</v>
      </c>
      <c r="K1081" s="3">
        <v>7.3524614440882664E-4</v>
      </c>
      <c r="L1081" s="3">
        <v>2</v>
      </c>
      <c r="N1081" s="5">
        <v>1080</v>
      </c>
    </row>
    <row r="1082" spans="1:14" x14ac:dyDescent="0.25">
      <c r="A1082" s="3" t="s">
        <v>1949</v>
      </c>
      <c r="B1082" s="3" t="s">
        <v>864</v>
      </c>
      <c r="C1082" s="3" t="s">
        <v>854</v>
      </c>
      <c r="G1082" s="4">
        <v>135.1099999999999</v>
      </c>
      <c r="H1082" s="30">
        <v>1.7308740591160041E-2</v>
      </c>
      <c r="I1082" s="30">
        <v>1.7308740591160041E-2</v>
      </c>
      <c r="J1082" s="3">
        <v>8.6543702955800203E-3</v>
      </c>
      <c r="K1082" s="3">
        <v>9.2397602407032799E-3</v>
      </c>
      <c r="L1082" s="3">
        <v>2</v>
      </c>
      <c r="N1082" s="5">
        <v>1081</v>
      </c>
    </row>
    <row r="1083" spans="1:14" x14ac:dyDescent="0.25">
      <c r="A1083" s="3" t="s">
        <v>1950</v>
      </c>
      <c r="B1083" s="3" t="s">
        <v>865</v>
      </c>
      <c r="C1083" s="3" t="s">
        <v>446</v>
      </c>
      <c r="G1083" s="4">
        <v>103.39999999999981</v>
      </c>
      <c r="H1083" s="30">
        <v>2.4560328173049029E-2</v>
      </c>
      <c r="I1083" s="30">
        <v>2.4560328173049029E-2</v>
      </c>
      <c r="J1083" s="3">
        <v>1.6340108778123183E-2</v>
      </c>
      <c r="K1083" s="3">
        <v>2.4510163167184774E-2</v>
      </c>
      <c r="L1083" s="3">
        <v>2</v>
      </c>
      <c r="N1083" s="5">
        <v>1082</v>
      </c>
    </row>
    <row r="1084" spans="1:14" x14ac:dyDescent="0.25">
      <c r="A1084" s="3" t="s">
        <v>1951</v>
      </c>
      <c r="B1084" s="3" t="s">
        <v>1029</v>
      </c>
      <c r="C1084" s="3" t="s">
        <v>866</v>
      </c>
      <c r="G1084" s="4">
        <v>59.24</v>
      </c>
      <c r="H1084" s="30">
        <v>2.9077431725406149E-2</v>
      </c>
      <c r="I1084" s="30">
        <v>2.9077431725406149E-2</v>
      </c>
      <c r="J1084" s="3">
        <v>4.776989428087723E-3</v>
      </c>
      <c r="K1084" s="3">
        <v>7.1654841421315832E-3</v>
      </c>
      <c r="L1084" s="3">
        <v>2</v>
      </c>
      <c r="N1084" s="5">
        <v>1083</v>
      </c>
    </row>
    <row r="1085" spans="1:14" x14ac:dyDescent="0.25">
      <c r="A1085" s="3" t="s">
        <v>1952</v>
      </c>
      <c r="B1085" s="3" t="s">
        <v>438</v>
      </c>
      <c r="C1085" s="3" t="s">
        <v>1030</v>
      </c>
      <c r="G1085" s="4">
        <v>11.72</v>
      </c>
      <c r="H1085" s="30">
        <v>1.963495668634433E-3</v>
      </c>
      <c r="I1085" s="30">
        <v>1.963495668634433E-3</v>
      </c>
      <c r="J1085" s="3">
        <v>1.5707965349075464E-3</v>
      </c>
      <c r="K1085" s="3">
        <v>2.3561948023613196E-3</v>
      </c>
      <c r="L1085" s="3">
        <v>2</v>
      </c>
      <c r="N1085" s="5">
        <v>1084</v>
      </c>
    </row>
    <row r="1086" spans="1:14" x14ac:dyDescent="0.25">
      <c r="A1086" s="3" t="s">
        <v>1953</v>
      </c>
      <c r="B1086" s="3" t="s">
        <v>471</v>
      </c>
      <c r="C1086" s="3" t="s">
        <v>957</v>
      </c>
      <c r="G1086" s="4">
        <v>0.1</v>
      </c>
      <c r="H1086" s="30">
        <v>6.8177260227015608E-3</v>
      </c>
      <c r="I1086" s="30">
        <v>6.8177260227015608E-3</v>
      </c>
      <c r="J1086" s="3">
        <v>5.4541808181612491E-3</v>
      </c>
      <c r="K1086" s="3">
        <v>8.1812712272418733E-3</v>
      </c>
      <c r="L1086" s="3">
        <v>2</v>
      </c>
      <c r="N1086" s="5">
        <v>1085</v>
      </c>
    </row>
    <row r="1087" spans="1:14" x14ac:dyDescent="0.25">
      <c r="A1087" s="3" t="s">
        <v>1954</v>
      </c>
      <c r="B1087" s="3" t="s">
        <v>952</v>
      </c>
      <c r="C1087" s="3" t="s">
        <v>956</v>
      </c>
      <c r="G1087" s="4">
        <v>14.820000000000009</v>
      </c>
      <c r="H1087" s="30">
        <v>7.4876341019303938E-3</v>
      </c>
      <c r="I1087" s="30">
        <v>7.4876341019303938E-3</v>
      </c>
      <c r="J1087" s="3">
        <v>1.4975268203860788E-3</v>
      </c>
      <c r="K1087" s="3">
        <v>1.4975268203860788E-2</v>
      </c>
      <c r="L1087" s="3">
        <v>2</v>
      </c>
      <c r="N1087" s="5">
        <v>1086</v>
      </c>
    </row>
    <row r="1088" spans="1:14" x14ac:dyDescent="0.25">
      <c r="A1088" s="3" t="s">
        <v>1955</v>
      </c>
      <c r="B1088" s="3" t="s">
        <v>955</v>
      </c>
      <c r="C1088" s="3" t="s">
        <v>293</v>
      </c>
      <c r="D1088" s="3">
        <v>41.122500000000002</v>
      </c>
      <c r="E1088" s="3">
        <v>41.122500000000002</v>
      </c>
      <c r="F1088" s="3">
        <v>41.122500000000002</v>
      </c>
      <c r="G1088" s="4">
        <v>41.122500000000002</v>
      </c>
      <c r="H1088" s="30">
        <v>7.4776660807534144E-3</v>
      </c>
      <c r="I1088" s="30">
        <v>7.4776660807534144E-3</v>
      </c>
      <c r="J1088" s="3">
        <v>1.8036934817495986E-3</v>
      </c>
      <c r="K1088" s="3">
        <v>2.7055402226243979E-3</v>
      </c>
      <c r="L1088" s="3">
        <v>2</v>
      </c>
      <c r="N1088" s="5">
        <v>1087</v>
      </c>
    </row>
    <row r="1089" spans="1:14" x14ac:dyDescent="0.25">
      <c r="A1089" s="3" t="s">
        <v>1956</v>
      </c>
      <c r="B1089" s="3" t="s">
        <v>949</v>
      </c>
      <c r="C1089" s="3" t="s">
        <v>955</v>
      </c>
      <c r="G1089" s="4">
        <v>8.4824999999999999</v>
      </c>
      <c r="H1089" s="30">
        <v>3.199495864169212E-3</v>
      </c>
      <c r="I1089" s="30">
        <v>3.199495864169212E-3</v>
      </c>
      <c r="J1089" s="3">
        <v>2.5595966913353699E-3</v>
      </c>
      <c r="K1089" s="3">
        <v>3.8393950370030541E-3</v>
      </c>
      <c r="L1089" s="3">
        <v>2</v>
      </c>
      <c r="N1089" s="5">
        <v>1088</v>
      </c>
    </row>
    <row r="1090" spans="1:14" x14ac:dyDescent="0.25">
      <c r="A1090" s="3" t="s">
        <v>1957</v>
      </c>
      <c r="B1090" s="3" t="s">
        <v>475</v>
      </c>
      <c r="C1090" s="3" t="s">
        <v>878</v>
      </c>
      <c r="G1090" s="4">
        <v>0.1</v>
      </c>
      <c r="H1090" s="30">
        <v>6.686037076621543E-3</v>
      </c>
      <c r="I1090" s="30">
        <v>6.686037076621543E-3</v>
      </c>
      <c r="J1090" s="3">
        <v>9.1177221433749768E-3</v>
      </c>
      <c r="K1090" s="3">
        <v>1.3676583215062463E-2</v>
      </c>
      <c r="L1090" s="3">
        <v>2</v>
      </c>
      <c r="N1090" s="5">
        <v>1089</v>
      </c>
    </row>
    <row r="1091" spans="1:14" x14ac:dyDescent="0.25">
      <c r="A1091" s="3" t="s">
        <v>1958</v>
      </c>
      <c r="B1091" s="3" t="s">
        <v>478</v>
      </c>
      <c r="C1091" s="3" t="s">
        <v>572</v>
      </c>
      <c r="G1091" s="4">
        <v>3.6599999999999859</v>
      </c>
      <c r="H1091" s="30">
        <v>7.5468008951846167E-3</v>
      </c>
      <c r="I1091" s="30">
        <v>7.5468008951846167E-3</v>
      </c>
      <c r="J1091" s="3">
        <v>3.1168943605842676E-3</v>
      </c>
      <c r="K1091" s="3">
        <v>4.6753415408764005E-3</v>
      </c>
      <c r="L1091" s="3">
        <v>2</v>
      </c>
      <c r="N1091" s="5">
        <v>1090</v>
      </c>
    </row>
    <row r="1092" spans="1:14" x14ac:dyDescent="0.25">
      <c r="A1092" s="3" t="s">
        <v>1959</v>
      </c>
      <c r="B1092" s="3" t="s">
        <v>961</v>
      </c>
      <c r="C1092" s="3" t="s">
        <v>535</v>
      </c>
      <c r="G1092" s="4">
        <v>2.1800000000000028</v>
      </c>
      <c r="H1092" s="30">
        <v>7.4560731349861114E-3</v>
      </c>
      <c r="I1092" s="30">
        <v>7.4560731349861114E-3</v>
      </c>
      <c r="J1092" s="3">
        <v>4.2230145995608382E-3</v>
      </c>
      <c r="K1092" s="3">
        <v>6.3345218993412561E-3</v>
      </c>
      <c r="L1092" s="3">
        <v>2</v>
      </c>
      <c r="N1092" s="5">
        <v>1091</v>
      </c>
    </row>
    <row r="1093" spans="1:14" x14ac:dyDescent="0.25">
      <c r="A1093" s="3" t="s">
        <v>1960</v>
      </c>
      <c r="B1093" s="3" t="s">
        <v>960</v>
      </c>
      <c r="C1093" s="3" t="s">
        <v>867</v>
      </c>
      <c r="G1093" s="4">
        <v>4.0149999999999979</v>
      </c>
      <c r="H1093" s="30">
        <v>7.7666717903651823E-3</v>
      </c>
      <c r="I1093" s="30">
        <v>7.7666717903651823E-3</v>
      </c>
      <c r="J1093" s="3">
        <v>6.2133374322921459E-3</v>
      </c>
      <c r="K1093" s="3">
        <v>9.3200061484382188E-3</v>
      </c>
      <c r="L1093" s="3">
        <v>2</v>
      </c>
      <c r="N1093" s="5">
        <v>1092</v>
      </c>
    </row>
    <row r="1094" spans="1:14" x14ac:dyDescent="0.25">
      <c r="A1094" s="3" t="s">
        <v>1961</v>
      </c>
      <c r="B1094" s="3" t="s">
        <v>867</v>
      </c>
      <c r="C1094" s="3" t="s">
        <v>501</v>
      </c>
      <c r="G1094" s="4">
        <v>3.2249999999999979</v>
      </c>
      <c r="H1094" s="30">
        <v>1.1048914458922639E-2</v>
      </c>
      <c r="I1094" s="30">
        <v>1.1048914458922639E-2</v>
      </c>
      <c r="J1094" s="3">
        <v>8.8391315671381126E-3</v>
      </c>
      <c r="K1094" s="3">
        <v>1.3258697350707166E-2</v>
      </c>
      <c r="L1094" s="3">
        <v>2</v>
      </c>
      <c r="N1094" s="5">
        <v>1093</v>
      </c>
    </row>
    <row r="1095" spans="1:14" x14ac:dyDescent="0.25">
      <c r="A1095" s="3" t="s">
        <v>1962</v>
      </c>
      <c r="B1095" s="3" t="s">
        <v>481</v>
      </c>
      <c r="C1095" s="3" t="s">
        <v>637</v>
      </c>
      <c r="G1095" s="4">
        <v>20.41749999999999</v>
      </c>
      <c r="H1095" s="30">
        <v>7.1501518535295547E-3</v>
      </c>
      <c r="I1095" s="30">
        <v>7.1501518535295547E-3</v>
      </c>
      <c r="J1095" s="3">
        <v>5.035292325827289E-3</v>
      </c>
      <c r="K1095" s="3">
        <v>7.5529384887409335E-3</v>
      </c>
      <c r="L1095" s="3">
        <v>2</v>
      </c>
      <c r="N1095" s="5">
        <v>1094</v>
      </c>
    </row>
    <row r="1096" spans="1:14" x14ac:dyDescent="0.25">
      <c r="A1096" s="3" t="s">
        <v>1963</v>
      </c>
      <c r="B1096" s="3" t="s">
        <v>874</v>
      </c>
      <c r="C1096" s="3" t="s">
        <v>615</v>
      </c>
      <c r="G1096" s="4">
        <v>0.1</v>
      </c>
      <c r="H1096" s="30">
        <v>7.4015325456270346E-3</v>
      </c>
      <c r="I1096" s="30">
        <v>7.4015325456270346E-3</v>
      </c>
      <c r="J1096" s="3">
        <v>5.921226036501628E-3</v>
      </c>
      <c r="K1096" s="3">
        <v>8.8818390547524412E-3</v>
      </c>
      <c r="L1096" s="3">
        <v>2</v>
      </c>
      <c r="N1096" s="5">
        <v>1095</v>
      </c>
    </row>
    <row r="1097" spans="1:14" x14ac:dyDescent="0.25">
      <c r="A1097" s="3" t="s">
        <v>1964</v>
      </c>
      <c r="B1097" s="3" t="s">
        <v>964</v>
      </c>
      <c r="C1097" s="3" t="s">
        <v>604</v>
      </c>
      <c r="G1097" s="4">
        <v>0.2125000000000305</v>
      </c>
      <c r="H1097" s="30">
        <v>7.3802811682126121E-3</v>
      </c>
      <c r="I1097" s="30">
        <v>7.3802811682126121E-3</v>
      </c>
      <c r="J1097" s="3">
        <v>5.9042249345700902E-3</v>
      </c>
      <c r="K1097" s="3">
        <v>8.8563374018551348E-3</v>
      </c>
      <c r="L1097" s="3">
        <v>2</v>
      </c>
      <c r="N1097" s="5">
        <v>1096</v>
      </c>
    </row>
    <row r="1098" spans="1:14" x14ac:dyDescent="0.25">
      <c r="A1098" s="3" t="s">
        <v>1965</v>
      </c>
      <c r="B1098" s="3" t="s">
        <v>963</v>
      </c>
      <c r="C1098" s="3" t="s">
        <v>593</v>
      </c>
      <c r="G1098" s="4">
        <v>0.10999999999999401</v>
      </c>
      <c r="H1098" s="30">
        <v>7.3579717955941952E-3</v>
      </c>
      <c r="I1098" s="30">
        <v>7.3579717955941952E-3</v>
      </c>
      <c r="J1098" s="3">
        <v>5.8863774364753567E-3</v>
      </c>
      <c r="K1098" s="3">
        <v>8.8295661547130345E-3</v>
      </c>
      <c r="L1098" s="3">
        <v>2</v>
      </c>
      <c r="N1098" s="5">
        <v>1097</v>
      </c>
    </row>
    <row r="1099" spans="1:14" x14ac:dyDescent="0.25">
      <c r="A1099" s="3" t="s">
        <v>1966</v>
      </c>
      <c r="B1099" s="3" t="s">
        <v>480</v>
      </c>
      <c r="C1099" s="3" t="s">
        <v>993</v>
      </c>
      <c r="G1099" s="4">
        <v>0.1</v>
      </c>
      <c r="H1099" s="30">
        <v>6.9017790910231016E-3</v>
      </c>
      <c r="I1099" s="30">
        <v>6.9017790910231016E-3</v>
      </c>
      <c r="J1099" s="3">
        <v>5.5214232728184815E-3</v>
      </c>
      <c r="K1099" s="3">
        <v>8.2821349092277209E-3</v>
      </c>
      <c r="L1099" s="3">
        <v>2</v>
      </c>
      <c r="N1099" s="5">
        <v>1098</v>
      </c>
    </row>
    <row r="1100" spans="1:14" x14ac:dyDescent="0.25">
      <c r="A1100" s="3" t="s">
        <v>1967</v>
      </c>
      <c r="B1100" s="3" t="s">
        <v>993</v>
      </c>
      <c r="C1100" s="3" t="s">
        <v>870</v>
      </c>
      <c r="G1100" s="4">
        <v>13.33</v>
      </c>
      <c r="H1100" s="30">
        <v>7.3462421164038438E-4</v>
      </c>
      <c r="I1100" s="30">
        <v>7.3462421164038438E-4</v>
      </c>
      <c r="J1100" s="3">
        <v>3.5623615556891252E-4</v>
      </c>
      <c r="K1100" s="3">
        <v>5.3435423335336876E-4</v>
      </c>
      <c r="L1100" s="3">
        <v>2</v>
      </c>
      <c r="N1100" s="5">
        <v>1099</v>
      </c>
    </row>
    <row r="1101" spans="1:14" x14ac:dyDescent="0.25">
      <c r="A1101" s="3" t="s">
        <v>1968</v>
      </c>
      <c r="B1101" s="3" t="s">
        <v>995</v>
      </c>
      <c r="C1101" s="3" t="s">
        <v>868</v>
      </c>
      <c r="G1101" s="4">
        <v>0.1</v>
      </c>
      <c r="H1101" s="30">
        <v>5.1169162704728095E-4</v>
      </c>
      <c r="I1101" s="30">
        <v>5.1169162704728095E-4</v>
      </c>
      <c r="J1101" s="3">
        <v>2.8629117256861455E-4</v>
      </c>
      <c r="K1101" s="3">
        <v>4.294367588529218E-4</v>
      </c>
      <c r="L1101" s="3">
        <v>2</v>
      </c>
      <c r="N1101" s="5">
        <v>1100</v>
      </c>
    </row>
    <row r="1102" spans="1:14" x14ac:dyDescent="0.25">
      <c r="A1102" s="3" t="s">
        <v>1969</v>
      </c>
      <c r="B1102" s="3" t="s">
        <v>995</v>
      </c>
      <c r="C1102" s="3" t="s">
        <v>947</v>
      </c>
      <c r="G1102" s="4">
        <v>0.95000000000000318</v>
      </c>
      <c r="H1102" s="30">
        <v>5.9986487157373224E-3</v>
      </c>
      <c r="I1102" s="30">
        <v>5.9986487157373224E-3</v>
      </c>
      <c r="J1102" s="3">
        <v>3.6541375771874476E-3</v>
      </c>
      <c r="K1102" s="3">
        <v>1.1997297431474645E-2</v>
      </c>
      <c r="L1102" s="3">
        <v>2</v>
      </c>
      <c r="N1102" s="5">
        <v>1101</v>
      </c>
    </row>
    <row r="1103" spans="1:14" x14ac:dyDescent="0.25">
      <c r="A1103" s="3" t="s">
        <v>1970</v>
      </c>
      <c r="B1103" s="3" t="s">
        <v>951</v>
      </c>
      <c r="C1103" s="3" t="s">
        <v>868</v>
      </c>
      <c r="G1103" s="4">
        <v>8.3600000000000012</v>
      </c>
      <c r="H1103" s="30">
        <v>6.4823553553062171E-3</v>
      </c>
      <c r="I1103" s="30">
        <v>6.4823553553062171E-3</v>
      </c>
      <c r="J1103" s="3">
        <f>I1103*0.1</f>
        <v>6.4823553553062174E-4</v>
      </c>
      <c r="K1103" s="3">
        <f>I1103*10</f>
        <v>6.4823553553062171E-2</v>
      </c>
      <c r="L1103" s="3">
        <v>2</v>
      </c>
      <c r="N1103" s="5">
        <v>1102</v>
      </c>
    </row>
    <row r="1104" spans="1:14" x14ac:dyDescent="0.25">
      <c r="A1104" s="3" t="s">
        <v>1971</v>
      </c>
      <c r="B1104" s="3" t="s">
        <v>473</v>
      </c>
      <c r="C1104" s="3" t="s">
        <v>490</v>
      </c>
      <c r="G1104" s="4">
        <v>0.1</v>
      </c>
      <c r="H1104" s="30">
        <v>6.1731987421187906</v>
      </c>
      <c r="I1104" s="30">
        <v>6.1731987421187906</v>
      </c>
      <c r="J1104" s="3">
        <v>4.9385589936950325</v>
      </c>
      <c r="K1104" s="3">
        <v>7.4078384905425487</v>
      </c>
      <c r="L1104" s="3">
        <v>2</v>
      </c>
      <c r="N1104" s="5">
        <v>1103</v>
      </c>
    </row>
    <row r="1105" spans="1:14" x14ac:dyDescent="0.25">
      <c r="A1105" s="3" t="s">
        <v>1972</v>
      </c>
      <c r="B1105" s="3" t="s">
        <v>947</v>
      </c>
      <c r="C1105" s="3" t="s">
        <v>870</v>
      </c>
      <c r="G1105" s="4">
        <v>1.0500000000000029</v>
      </c>
      <c r="H1105" s="30">
        <v>3.763618370313207E-3</v>
      </c>
      <c r="I1105" s="30">
        <v>3.763618370313207E-3</v>
      </c>
      <c r="J1105" s="3">
        <v>3.010894696250566E-3</v>
      </c>
      <c r="K1105" s="3">
        <v>4.5163420443758481E-3</v>
      </c>
      <c r="L1105" s="3">
        <v>2</v>
      </c>
      <c r="N1105" s="5">
        <v>1104</v>
      </c>
    </row>
    <row r="1106" spans="1:14" x14ac:dyDescent="0.25">
      <c r="A1106" s="3" t="s">
        <v>1973</v>
      </c>
      <c r="B1106" s="3" t="s">
        <v>951</v>
      </c>
      <c r="C1106" s="3" t="s">
        <v>871</v>
      </c>
      <c r="G1106" s="4">
        <v>1.8300000000000021</v>
      </c>
      <c r="H1106" s="30">
        <v>3.7725137776206449E-3</v>
      </c>
      <c r="I1106" s="30">
        <v>3.7725137776206449E-3</v>
      </c>
      <c r="J1106" s="3">
        <v>3.0180110220965162E-3</v>
      </c>
      <c r="K1106" s="3">
        <v>4.527016533144774E-3</v>
      </c>
      <c r="L1106" s="3">
        <v>2</v>
      </c>
      <c r="N1106" s="5">
        <v>1105</v>
      </c>
    </row>
    <row r="1107" spans="1:14" x14ac:dyDescent="0.25">
      <c r="A1107" s="7" t="s">
        <v>1974</v>
      </c>
      <c r="B1107" s="7" t="s">
        <v>872</v>
      </c>
      <c r="C1107" s="7" t="s">
        <v>1031</v>
      </c>
      <c r="D1107" s="7"/>
      <c r="E1107" s="7"/>
      <c r="F1107" s="7"/>
      <c r="G1107" s="11">
        <v>2.3899999999999642</v>
      </c>
      <c r="H1107" s="9">
        <v>150</v>
      </c>
      <c r="I1107" s="31">
        <v>6.2115180649594251E-3</v>
      </c>
      <c r="J1107" s="7">
        <v>3.698278300062273E-4</v>
      </c>
      <c r="K1107" s="7">
        <v>20</v>
      </c>
      <c r="L1107" s="7">
        <v>2</v>
      </c>
      <c r="M1107" s="7"/>
      <c r="N1107" s="8">
        <v>1106</v>
      </c>
    </row>
    <row r="1108" spans="1:14" x14ac:dyDescent="0.25">
      <c r="A1108" s="34" t="s">
        <v>1975</v>
      </c>
      <c r="B1108" s="34" t="s">
        <v>873</v>
      </c>
      <c r="C1108" s="34" t="s">
        <v>935</v>
      </c>
      <c r="D1108" s="34">
        <v>16.79</v>
      </c>
      <c r="E1108" s="34">
        <v>16.79</v>
      </c>
      <c r="F1108" s="34">
        <v>16.79</v>
      </c>
      <c r="G1108" s="35">
        <v>16.79</v>
      </c>
      <c r="H1108" s="39">
        <v>1.0296644635437131</v>
      </c>
      <c r="I1108" s="39">
        <v>1.0296644635437131</v>
      </c>
      <c r="J1108" s="34">
        <v>3.5038412395984482</v>
      </c>
      <c r="K1108" s="34">
        <v>5.2557618593976718</v>
      </c>
      <c r="L1108" s="34">
        <v>2</v>
      </c>
      <c r="M1108" s="34" t="s">
        <v>2083</v>
      </c>
      <c r="N1108" s="37">
        <v>1107</v>
      </c>
    </row>
    <row r="1109" spans="1:14" x14ac:dyDescent="0.25">
      <c r="A1109" s="3" t="s">
        <v>1976</v>
      </c>
      <c r="B1109" s="3" t="s">
        <v>935</v>
      </c>
      <c r="C1109" s="3" t="s">
        <v>919</v>
      </c>
      <c r="G1109" s="4">
        <v>178.05</v>
      </c>
      <c r="H1109" s="30">
        <v>1.3888967108701641E-3</v>
      </c>
      <c r="I1109" s="30">
        <v>1.3888967108701641E-3</v>
      </c>
      <c r="J1109" s="3">
        <v>2.219560599199043E-3</v>
      </c>
      <c r="K1109" s="3">
        <v>3.3293408987985647E-3</v>
      </c>
      <c r="L1109" s="3">
        <v>2</v>
      </c>
      <c r="N1109" s="5">
        <v>1108</v>
      </c>
    </row>
    <row r="1110" spans="1:14" x14ac:dyDescent="0.25">
      <c r="A1110" s="3" t="s">
        <v>1977</v>
      </c>
      <c r="B1110" s="3" t="s">
        <v>794</v>
      </c>
      <c r="C1110" s="3" t="s">
        <v>20</v>
      </c>
      <c r="G1110" s="4">
        <v>25.440000000000008</v>
      </c>
      <c r="H1110" s="30">
        <v>3.395724525669659E-3</v>
      </c>
      <c r="I1110" s="30">
        <v>3.395724525669659E-3</v>
      </c>
      <c r="J1110" s="3">
        <v>5.4569742747520675E-4</v>
      </c>
      <c r="K1110" s="3">
        <v>8.1854614121281007E-4</v>
      </c>
      <c r="L1110" s="3">
        <v>2</v>
      </c>
      <c r="N1110" s="5">
        <v>1109</v>
      </c>
    </row>
    <row r="1111" spans="1:14" x14ac:dyDescent="0.25">
      <c r="A1111" s="3" t="s">
        <v>1978</v>
      </c>
      <c r="B1111" s="3" t="s">
        <v>876</v>
      </c>
      <c r="C1111" s="3" t="s">
        <v>589</v>
      </c>
      <c r="G1111" s="4">
        <v>32.39</v>
      </c>
      <c r="H1111" s="30">
        <v>7.3028343052647408E-3</v>
      </c>
      <c r="I1111" s="30">
        <v>7.3028343052647408E-3</v>
      </c>
      <c r="J1111" s="3">
        <v>3.0248275835942323E-3</v>
      </c>
      <c r="K1111" s="3">
        <v>4.5372413753913482E-3</v>
      </c>
      <c r="L1111" s="3">
        <v>2</v>
      </c>
      <c r="N1111" s="5">
        <v>1110</v>
      </c>
    </row>
    <row r="1112" spans="1:14" x14ac:dyDescent="0.25">
      <c r="A1112" s="3" t="s">
        <v>1979</v>
      </c>
      <c r="B1112" s="3" t="s">
        <v>878</v>
      </c>
      <c r="C1112" s="3" t="s">
        <v>476</v>
      </c>
      <c r="G1112" s="4">
        <v>3.45</v>
      </c>
      <c r="H1112" s="30">
        <v>8.9119146348407476E-3</v>
      </c>
      <c r="I1112" s="30">
        <v>8.9119146348407476E-3</v>
      </c>
      <c r="J1112" s="3">
        <v>7.1295317078725988E-3</v>
      </c>
      <c r="K1112" s="3">
        <v>1.0694297561808896E-2</v>
      </c>
      <c r="L1112" s="3">
        <v>2</v>
      </c>
      <c r="N1112" s="5">
        <v>1111</v>
      </c>
    </row>
    <row r="1113" spans="1:14" x14ac:dyDescent="0.25">
      <c r="A1113" s="3" t="s">
        <v>1980</v>
      </c>
      <c r="B1113" s="3" t="s">
        <v>942</v>
      </c>
      <c r="C1113" s="3" t="s">
        <v>32</v>
      </c>
      <c r="D1113" s="3">
        <v>2.21</v>
      </c>
      <c r="E1113" s="3">
        <v>2.21</v>
      </c>
      <c r="F1113" s="3">
        <v>2.21</v>
      </c>
      <c r="G1113" s="4">
        <v>2.21</v>
      </c>
      <c r="H1113" s="30">
        <v>1.806939116157646E-3</v>
      </c>
      <c r="I1113" s="30">
        <v>1.806939116157646E-3</v>
      </c>
      <c r="J1113" s="3">
        <v>1.445551292926117E-3</v>
      </c>
      <c r="K1113" s="3">
        <v>2.1683269393891753E-3</v>
      </c>
      <c r="L1113" s="3">
        <v>2</v>
      </c>
      <c r="N1113" s="5">
        <v>1112</v>
      </c>
    </row>
    <row r="1114" spans="1:14" x14ac:dyDescent="0.25">
      <c r="A1114" s="3" t="s">
        <v>1981</v>
      </c>
      <c r="B1114" s="3" t="s">
        <v>942</v>
      </c>
      <c r="C1114" s="3" t="s">
        <v>886</v>
      </c>
      <c r="G1114" s="4">
        <v>88.779999999999831</v>
      </c>
      <c r="H1114" s="30">
        <v>3.828503849370606E-3</v>
      </c>
      <c r="I1114" s="30">
        <v>3.828503849370606E-3</v>
      </c>
      <c r="J1114" s="3">
        <v>1.6633124560154287E-3</v>
      </c>
      <c r="K1114" s="3">
        <v>2.494968684023143E-3</v>
      </c>
      <c r="L1114" s="3">
        <v>2</v>
      </c>
      <c r="N1114" s="5">
        <v>1113</v>
      </c>
    </row>
    <row r="1115" spans="1:14" x14ac:dyDescent="0.25">
      <c r="A1115" s="3" t="s">
        <v>1982</v>
      </c>
      <c r="B1115" s="3" t="s">
        <v>930</v>
      </c>
      <c r="C1115" s="3" t="s">
        <v>113</v>
      </c>
      <c r="G1115" s="4">
        <v>0.1400000000000009</v>
      </c>
      <c r="H1115" s="30">
        <v>7.6878381510332777E-3</v>
      </c>
      <c r="I1115" s="30">
        <v>7.6878381510332777E-3</v>
      </c>
      <c r="J1115" s="3">
        <v>7.4203627670607038E-3</v>
      </c>
      <c r="K1115" s="3">
        <v>1.1130544150591054E-2</v>
      </c>
      <c r="L1115" s="3">
        <v>2</v>
      </c>
      <c r="N1115" s="5">
        <v>1114</v>
      </c>
    </row>
    <row r="1116" spans="1:14" x14ac:dyDescent="0.25">
      <c r="A1116" s="3" t="s">
        <v>1983</v>
      </c>
      <c r="B1116" s="3" t="s">
        <v>880</v>
      </c>
      <c r="C1116" s="3" t="s">
        <v>881</v>
      </c>
      <c r="G1116" s="4">
        <v>1.400000000000001</v>
      </c>
      <c r="H1116" s="30">
        <v>3.9175745879369769E-3</v>
      </c>
      <c r="I1116" s="30">
        <v>3.9175745879369769E-3</v>
      </c>
      <c r="J1116" s="3">
        <v>3.0009248956814906E-3</v>
      </c>
      <c r="K1116" s="3">
        <v>4.5013873435222358E-3</v>
      </c>
      <c r="L1116" s="3">
        <v>2</v>
      </c>
      <c r="N1116" s="5">
        <v>1115</v>
      </c>
    </row>
    <row r="1117" spans="1:14" x14ac:dyDescent="0.25">
      <c r="A1117" s="3" t="s">
        <v>1984</v>
      </c>
      <c r="B1117" s="3" t="s">
        <v>881</v>
      </c>
      <c r="C1117" s="3" t="s">
        <v>882</v>
      </c>
      <c r="G1117" s="4">
        <v>1.3000000000000009</v>
      </c>
      <c r="H1117" s="30">
        <v>4.9715702763799309E-3</v>
      </c>
      <c r="I1117" s="30">
        <v>4.9715702763799309E-3</v>
      </c>
      <c r="J1117" s="3">
        <f>I1117*0.1</f>
        <v>4.9715702763799316E-4</v>
      </c>
      <c r="K1117" s="3">
        <f>I1117*10</f>
        <v>4.9715702763799309E-2</v>
      </c>
      <c r="L1117" s="3">
        <v>2</v>
      </c>
      <c r="N1117" s="5">
        <v>1116</v>
      </c>
    </row>
    <row r="1118" spans="1:14" x14ac:dyDescent="0.25">
      <c r="A1118" s="3" t="s">
        <v>1985</v>
      </c>
      <c r="B1118" s="3" t="s">
        <v>932</v>
      </c>
      <c r="C1118" s="3" t="s">
        <v>1032</v>
      </c>
      <c r="D1118" s="3">
        <v>17.57</v>
      </c>
      <c r="E1118" s="3">
        <v>17.57</v>
      </c>
      <c r="F1118" s="3">
        <v>17.57</v>
      </c>
      <c r="G1118" s="4">
        <v>17.57</v>
      </c>
      <c r="H1118" s="30">
        <v>1.2730882634297931E-2</v>
      </c>
      <c r="I1118" s="30">
        <v>1.2730882634297931E-2</v>
      </c>
      <c r="J1118" s="3">
        <v>2.0361892697439977E-2</v>
      </c>
      <c r="K1118" s="3">
        <v>3.0542839046159963E-2</v>
      </c>
      <c r="L1118" s="3">
        <v>2</v>
      </c>
      <c r="N1118" s="5">
        <v>1117</v>
      </c>
    </row>
    <row r="1119" spans="1:14" x14ac:dyDescent="0.25">
      <c r="A1119" s="3" t="s">
        <v>1986</v>
      </c>
      <c r="B1119" s="3" t="s">
        <v>1033</v>
      </c>
      <c r="C1119" s="3" t="s">
        <v>884</v>
      </c>
      <c r="G1119" s="4">
        <v>0.1</v>
      </c>
      <c r="H1119" s="30">
        <v>1.5686395816748931E-2</v>
      </c>
      <c r="I1119" s="30">
        <v>1.5686395816748931E-2</v>
      </c>
      <c r="J1119" s="3">
        <v>6.2746594407752836E-3</v>
      </c>
      <c r="K1119" s="3">
        <v>3.1372791633497862E-2</v>
      </c>
      <c r="L1119" s="3">
        <v>2</v>
      </c>
      <c r="N1119" s="5">
        <v>1118</v>
      </c>
    </row>
    <row r="1120" spans="1:14" x14ac:dyDescent="0.25">
      <c r="A1120" s="3" t="s">
        <v>1987</v>
      </c>
      <c r="B1120" s="3" t="s">
        <v>1033</v>
      </c>
      <c r="C1120" s="3" t="s">
        <v>884</v>
      </c>
      <c r="G1120" s="4">
        <v>8.91</v>
      </c>
      <c r="H1120" s="30">
        <v>1.549710073451125E-2</v>
      </c>
      <c r="I1120" s="30">
        <v>1.549710073451125E-2</v>
      </c>
      <c r="J1120" s="3">
        <f>I1120*0.8</f>
        <v>1.2397680587609001E-2</v>
      </c>
      <c r="K1120" s="3">
        <f>I1120*1.2</f>
        <v>1.85965208814135E-2</v>
      </c>
      <c r="L1120" s="3">
        <v>2</v>
      </c>
      <c r="N1120" s="5">
        <v>1119</v>
      </c>
    </row>
    <row r="1121" spans="1:14" x14ac:dyDescent="0.25">
      <c r="A1121" s="3" t="s">
        <v>1988</v>
      </c>
      <c r="B1121" s="3" t="s">
        <v>965</v>
      </c>
      <c r="C1121" s="3" t="s">
        <v>1029</v>
      </c>
      <c r="G1121" s="4">
        <v>0.39000000000000218</v>
      </c>
      <c r="H1121" s="30">
        <v>2.4987885446235091E-3</v>
      </c>
      <c r="I1121" s="30">
        <v>2.4987885446235091E-3</v>
      </c>
      <c r="J1121" s="3">
        <v>5.5341347282437372E-4</v>
      </c>
      <c r="K1121" s="3">
        <v>8.3012020923656064E-4</v>
      </c>
      <c r="L1121" s="3">
        <v>2</v>
      </c>
      <c r="N1121" s="5">
        <v>1120</v>
      </c>
    </row>
    <row r="1122" spans="1:14" x14ac:dyDescent="0.25">
      <c r="A1122" s="3" t="s">
        <v>1989</v>
      </c>
      <c r="B1122" s="3" t="s">
        <v>477</v>
      </c>
      <c r="C1122" s="3" t="s">
        <v>978</v>
      </c>
      <c r="G1122" s="4">
        <v>16.489999999999991</v>
      </c>
      <c r="H1122" s="30">
        <v>3.0011148701970532E-2</v>
      </c>
      <c r="I1122" s="30">
        <v>3.0011148701970532E-2</v>
      </c>
      <c r="J1122" s="3">
        <v>4.3771149213059891E-2</v>
      </c>
      <c r="K1122" s="3">
        <v>6.5656723819589827E-2</v>
      </c>
      <c r="L1122" s="3">
        <v>2</v>
      </c>
      <c r="N1122" s="5">
        <v>1121</v>
      </c>
    </row>
    <row r="1123" spans="1:14" x14ac:dyDescent="0.25">
      <c r="A1123" s="34" t="s">
        <v>1990</v>
      </c>
      <c r="B1123" s="34" t="s">
        <v>887</v>
      </c>
      <c r="C1123" s="34" t="s">
        <v>454</v>
      </c>
      <c r="D1123" s="34"/>
      <c r="E1123" s="34"/>
      <c r="F1123" s="34"/>
      <c r="G1123" s="11">
        <v>6.83</v>
      </c>
      <c r="H1123" s="39">
        <v>4.037721665572651E-3</v>
      </c>
      <c r="I1123" s="39">
        <v>4.037721665572651E-3</v>
      </c>
      <c r="J1123" s="34">
        <v>2.9201476926243659E-2</v>
      </c>
      <c r="K1123" s="34">
        <v>4.3802215389365483E-2</v>
      </c>
      <c r="L1123" s="34">
        <v>2</v>
      </c>
      <c r="M1123" s="34" t="s">
        <v>2096</v>
      </c>
      <c r="N1123" s="37">
        <v>1122</v>
      </c>
    </row>
    <row r="1124" spans="1:14" x14ac:dyDescent="0.25">
      <c r="A1124" s="3" t="s">
        <v>1991</v>
      </c>
      <c r="B1124" s="3" t="s">
        <v>930</v>
      </c>
      <c r="C1124" s="3" t="s">
        <v>282</v>
      </c>
      <c r="G1124" s="4">
        <v>83.909999999999826</v>
      </c>
      <c r="H1124" s="30">
        <v>4.9453807488999734E-3</v>
      </c>
      <c r="I1124" s="30">
        <v>4.9453807488999734E-3</v>
      </c>
      <c r="J1124" s="3">
        <v>3.9654741076400953E-4</v>
      </c>
      <c r="K1124" s="3">
        <v>5.9482111614601418E-4</v>
      </c>
      <c r="L1124" s="3">
        <v>2</v>
      </c>
      <c r="N1124" s="5">
        <v>1123</v>
      </c>
    </row>
    <row r="1125" spans="1:14" s="14" customFormat="1" x14ac:dyDescent="0.25">
      <c r="A1125" s="14" t="s">
        <v>1992</v>
      </c>
      <c r="B1125" s="14" t="s">
        <v>1034</v>
      </c>
      <c r="C1125" s="14" t="s">
        <v>890</v>
      </c>
      <c r="D1125" s="3">
        <v>13.22</v>
      </c>
      <c r="E1125" s="3">
        <v>13.22</v>
      </c>
      <c r="F1125" s="3">
        <v>13.22</v>
      </c>
      <c r="G1125" s="4">
        <v>13.22</v>
      </c>
      <c r="H1125" s="32">
        <v>0.22124500209663131</v>
      </c>
      <c r="I1125" s="32">
        <v>0.22124500209663131</v>
      </c>
      <c r="J1125" s="14">
        <v>0.11062250104831566</v>
      </c>
      <c r="K1125" s="14">
        <v>5.0798548729030646</v>
      </c>
      <c r="L1125" s="14">
        <v>2</v>
      </c>
      <c r="M1125" s="14" t="s">
        <v>2069</v>
      </c>
      <c r="N1125" s="5">
        <v>1124</v>
      </c>
    </row>
    <row r="1126" spans="1:14" x14ac:dyDescent="0.25">
      <c r="A1126" s="3" t="s">
        <v>1993</v>
      </c>
      <c r="B1126" s="3" t="s">
        <v>893</v>
      </c>
      <c r="C1126" s="3" t="s">
        <v>939</v>
      </c>
      <c r="G1126" s="4">
        <v>0.1</v>
      </c>
      <c r="H1126" s="30">
        <v>4.0895326968960304E-3</v>
      </c>
      <c r="I1126" s="30">
        <v>4.0895326968960304E-3</v>
      </c>
      <c r="J1126" s="3">
        <v>1.642325957631743E-3</v>
      </c>
      <c r="K1126" s="3">
        <v>2.4634889364476146E-3</v>
      </c>
      <c r="L1126" s="3">
        <v>2</v>
      </c>
      <c r="N1126" s="5">
        <v>1125</v>
      </c>
    </row>
    <row r="1127" spans="1:14" x14ac:dyDescent="0.25">
      <c r="A1127" s="3" t="s">
        <v>1994</v>
      </c>
      <c r="B1127" s="3" t="s">
        <v>893</v>
      </c>
      <c r="C1127" s="3" t="s">
        <v>939</v>
      </c>
      <c r="G1127" s="4">
        <v>2.1900000000000319</v>
      </c>
      <c r="H1127" s="30">
        <v>4.2948439371370646E-3</v>
      </c>
      <c r="I1127" s="30">
        <v>4.2948439371370646E-3</v>
      </c>
      <c r="J1127" s="3">
        <v>6.8477309435765413E-3</v>
      </c>
      <c r="K1127" s="3">
        <v>1.0271596415364811E-2</v>
      </c>
      <c r="L1127" s="3">
        <v>2</v>
      </c>
      <c r="N1127" s="5">
        <v>1126</v>
      </c>
    </row>
    <row r="1128" spans="1:14" s="14" customFormat="1" x14ac:dyDescent="0.25">
      <c r="A1128" s="14" t="s">
        <v>1995</v>
      </c>
      <c r="B1128" s="14" t="s">
        <v>1035</v>
      </c>
      <c r="C1128" s="14" t="s">
        <v>1036</v>
      </c>
      <c r="D1128" s="3">
        <v>5.54</v>
      </c>
      <c r="E1128" s="3">
        <v>5.54</v>
      </c>
      <c r="F1128" s="3">
        <v>5.54</v>
      </c>
      <c r="G1128" s="4">
        <v>5.54</v>
      </c>
      <c r="H1128" s="32">
        <v>7.3727513419370909E-3</v>
      </c>
      <c r="I1128" s="32">
        <v>7.3727513419370909E-3</v>
      </c>
      <c r="J1128" s="14">
        <v>3.6863756709685455E-3</v>
      </c>
      <c r="K1128" s="14">
        <v>1.4745502683874182E-2</v>
      </c>
      <c r="L1128" s="14">
        <v>2</v>
      </c>
      <c r="M1128" s="14" t="s">
        <v>2070</v>
      </c>
      <c r="N1128" s="5">
        <v>1127</v>
      </c>
    </row>
    <row r="1129" spans="1:14" x14ac:dyDescent="0.25">
      <c r="A1129" s="3" t="s">
        <v>1996</v>
      </c>
      <c r="B1129" s="3" t="s">
        <v>1036</v>
      </c>
      <c r="C1129" s="3" t="s">
        <v>892</v>
      </c>
      <c r="G1129" s="4">
        <v>4.3099999999999659</v>
      </c>
      <c r="H1129" s="30">
        <v>2.53379071831497E-2</v>
      </c>
      <c r="I1129" s="30">
        <v>2.53379071831497E-2</v>
      </c>
      <c r="J1129" s="3">
        <v>2.0270325746519761E-2</v>
      </c>
      <c r="K1129" s="3">
        <v>3.0405488619779639E-2</v>
      </c>
      <c r="L1129" s="3">
        <v>2</v>
      </c>
      <c r="N1129" s="5">
        <v>1128</v>
      </c>
    </row>
    <row r="1130" spans="1:14" x14ac:dyDescent="0.25">
      <c r="A1130" s="3" t="s">
        <v>1997</v>
      </c>
      <c r="B1130" s="3" t="s">
        <v>1036</v>
      </c>
      <c r="C1130" s="3" t="s">
        <v>77</v>
      </c>
      <c r="G1130" s="4">
        <v>1.2300000000000351</v>
      </c>
      <c r="H1130" s="30">
        <v>9.6426479759775929E-3</v>
      </c>
      <c r="I1130" s="30">
        <v>9.6426479759775929E-3</v>
      </c>
      <c r="J1130" s="3">
        <v>4.8213239879887964E-3</v>
      </c>
      <c r="K1130" s="3">
        <v>1.9285295951955186E-2</v>
      </c>
      <c r="L1130" s="3">
        <v>2</v>
      </c>
      <c r="N1130" s="5">
        <v>1129</v>
      </c>
    </row>
    <row r="1131" spans="1:14" x14ac:dyDescent="0.25">
      <c r="A1131" s="3" t="s">
        <v>1998</v>
      </c>
      <c r="B1131" s="3" t="s">
        <v>897</v>
      </c>
      <c r="C1131" s="3" t="s">
        <v>895</v>
      </c>
      <c r="D1131" s="3">
        <v>9.5500000000000007</v>
      </c>
      <c r="E1131" s="3">
        <v>9.5500000000000007</v>
      </c>
      <c r="F1131" s="3">
        <v>9.5500000000000007</v>
      </c>
      <c r="G1131" s="4">
        <v>9.5500000000000007</v>
      </c>
      <c r="H1131" s="30">
        <v>9.7117016233478504E-3</v>
      </c>
      <c r="I1131" s="30">
        <v>9.7117016233478504E-3</v>
      </c>
      <c r="J1131" s="3">
        <v>5.0127253537600655E-3</v>
      </c>
      <c r="K1131" s="3">
        <v>7.5190880306400983E-3</v>
      </c>
      <c r="L1131" s="3">
        <v>2</v>
      </c>
      <c r="N1131" s="5">
        <v>1130</v>
      </c>
    </row>
    <row r="1132" spans="1:14" x14ac:dyDescent="0.25">
      <c r="A1132" s="3" t="s">
        <v>1999</v>
      </c>
      <c r="B1132" s="3" t="s">
        <v>900</v>
      </c>
      <c r="C1132" s="3" t="s">
        <v>904</v>
      </c>
      <c r="G1132" s="4">
        <v>0.1</v>
      </c>
      <c r="H1132" s="30">
        <v>3.5203579348411188E-2</v>
      </c>
      <c r="I1132" s="30">
        <v>3.5203579348411188E-2</v>
      </c>
      <c r="J1132" s="3">
        <v>5.5566326249127974E-2</v>
      </c>
      <c r="K1132" s="3">
        <v>8.3349489373691951E-2</v>
      </c>
      <c r="L1132" s="3">
        <v>2</v>
      </c>
      <c r="N1132" s="5">
        <v>1131</v>
      </c>
    </row>
    <row r="1133" spans="1:14" x14ac:dyDescent="0.25">
      <c r="A1133" s="3" t="s">
        <v>2000</v>
      </c>
      <c r="B1133" s="3" t="s">
        <v>1032</v>
      </c>
      <c r="C1133" s="3" t="s">
        <v>1037</v>
      </c>
      <c r="G1133" s="4">
        <v>13.154999999999999</v>
      </c>
      <c r="H1133" s="30">
        <v>5.8845308807856196E-3</v>
      </c>
      <c r="I1133" s="30">
        <v>5.8845308807856196E-3</v>
      </c>
      <c r="J1133" s="3">
        <v>7.2775958325367127E-3</v>
      </c>
      <c r="K1133" s="3">
        <v>1.0916393748805068E-2</v>
      </c>
      <c r="L1133" s="3">
        <v>2</v>
      </c>
      <c r="N1133" s="5">
        <v>1132</v>
      </c>
    </row>
    <row r="1134" spans="1:14" x14ac:dyDescent="0.25">
      <c r="A1134" s="3" t="s">
        <v>2001</v>
      </c>
      <c r="B1134" s="3" t="s">
        <v>1032</v>
      </c>
      <c r="C1134" s="3" t="s">
        <v>1038</v>
      </c>
      <c r="G1134" s="4">
        <v>4.4150000000000009</v>
      </c>
      <c r="H1134" s="30">
        <v>3.869265662463033E-3</v>
      </c>
      <c r="I1134" s="30">
        <v>3.869265662463033E-3</v>
      </c>
      <c r="J1134" s="3">
        <v>7.9217803433719383E-4</v>
      </c>
      <c r="K1134" s="3">
        <v>1.1882670515057907E-3</v>
      </c>
      <c r="L1134" s="3">
        <v>2</v>
      </c>
      <c r="N1134" s="5">
        <v>1133</v>
      </c>
    </row>
    <row r="1135" spans="1:14" x14ac:dyDescent="0.25">
      <c r="A1135" s="3" t="s">
        <v>2002</v>
      </c>
      <c r="B1135" s="3" t="s">
        <v>1037</v>
      </c>
      <c r="C1135" s="3" t="s">
        <v>903</v>
      </c>
      <c r="D1135" s="3">
        <v>13.055</v>
      </c>
      <c r="E1135" s="3">
        <v>13.055</v>
      </c>
      <c r="F1135" s="3">
        <v>13.055</v>
      </c>
      <c r="G1135" s="4">
        <v>13.055</v>
      </c>
      <c r="H1135" s="30">
        <v>7.1961499680961577E-3</v>
      </c>
      <c r="I1135" s="30">
        <v>7.1961499680961577E-3</v>
      </c>
      <c r="J1135" s="3">
        <v>1.1420273048966737E-2</v>
      </c>
      <c r="K1135" s="3">
        <v>1.7130409573450103E-2</v>
      </c>
      <c r="L1135" s="3">
        <v>2</v>
      </c>
      <c r="N1135" s="5">
        <v>1134</v>
      </c>
    </row>
    <row r="1136" spans="1:14" x14ac:dyDescent="0.25">
      <c r="A1136" s="34" t="s">
        <v>2003</v>
      </c>
      <c r="B1136" s="34" t="s">
        <v>1037</v>
      </c>
      <c r="C1136" s="34" t="s">
        <v>425</v>
      </c>
      <c r="D1136" s="34"/>
      <c r="E1136" s="34"/>
      <c r="F1136" s="34"/>
      <c r="G1136" s="11">
        <v>0.1</v>
      </c>
      <c r="H1136" s="39">
        <v>2.2522698983640128E-3</v>
      </c>
      <c r="I1136" s="39">
        <v>2.2522698983640128E-3</v>
      </c>
      <c r="J1136" s="34">
        <v>3.1167437282422282E-3</v>
      </c>
      <c r="K1136" s="34">
        <v>4.6751155923633421E-3</v>
      </c>
      <c r="L1136" s="34">
        <v>2</v>
      </c>
      <c r="M1136" s="34" t="s">
        <v>2102</v>
      </c>
      <c r="N1136" s="37">
        <v>1135</v>
      </c>
    </row>
    <row r="1137" spans="1:14" x14ac:dyDescent="0.25">
      <c r="A1137" s="34" t="s">
        <v>2004</v>
      </c>
      <c r="B1137" s="34" t="s">
        <v>903</v>
      </c>
      <c r="C1137" s="34" t="s">
        <v>48</v>
      </c>
      <c r="D1137" s="34"/>
      <c r="E1137" s="34"/>
      <c r="F1137" s="7">
        <v>5.0599999999999996</v>
      </c>
      <c r="G1137" s="35">
        <v>2.375</v>
      </c>
      <c r="H1137" s="39">
        <v>9.1312506282997825E-3</v>
      </c>
      <c r="I1137" s="39">
        <v>9.1312506282997825E-3</v>
      </c>
      <c r="J1137" s="34">
        <v>13.233613001673897</v>
      </c>
      <c r="K1137" s="34">
        <v>19.850419502510842</v>
      </c>
      <c r="L1137" s="34">
        <v>2</v>
      </c>
      <c r="M1137" s="34" t="s">
        <v>2103</v>
      </c>
      <c r="N1137" s="37">
        <v>1136</v>
      </c>
    </row>
    <row r="1138" spans="1:14" x14ac:dyDescent="0.25">
      <c r="A1138" s="3" t="s">
        <v>2005</v>
      </c>
      <c r="B1138" s="3" t="s">
        <v>904</v>
      </c>
      <c r="C1138" s="3" t="s">
        <v>1039</v>
      </c>
      <c r="G1138" s="4">
        <v>10.78</v>
      </c>
      <c r="H1138" s="30">
        <v>2.5885464654489949E-2</v>
      </c>
      <c r="I1138" s="30">
        <v>2.5885464654489949E-2</v>
      </c>
      <c r="J1138" s="3">
        <v>2.0104081270124384E-2</v>
      </c>
      <c r="K1138" s="3">
        <v>3.0156121905186573E-2</v>
      </c>
      <c r="L1138" s="3">
        <v>2</v>
      </c>
      <c r="N1138" s="5">
        <v>1137</v>
      </c>
    </row>
    <row r="1139" spans="1:14" x14ac:dyDescent="0.25">
      <c r="A1139" s="3" t="s">
        <v>2006</v>
      </c>
      <c r="B1139" s="3" t="s">
        <v>1039</v>
      </c>
      <c r="C1139" s="3" t="s">
        <v>905</v>
      </c>
      <c r="G1139" s="4">
        <v>10.88</v>
      </c>
      <c r="H1139" s="30">
        <v>1.9893693143614229E-2</v>
      </c>
      <c r="I1139" s="30">
        <v>1.9893693143614229E-2</v>
      </c>
      <c r="J1139" s="3">
        <v>3.2183894039380261E-3</v>
      </c>
      <c r="K1139" s="3">
        <v>4.8275841059070386E-3</v>
      </c>
      <c r="L1139" s="3">
        <v>2</v>
      </c>
      <c r="N1139" s="5">
        <v>1138</v>
      </c>
    </row>
    <row r="1140" spans="1:14" x14ac:dyDescent="0.25">
      <c r="A1140" s="3" t="s">
        <v>2007</v>
      </c>
      <c r="B1140" s="3" t="s">
        <v>906</v>
      </c>
      <c r="C1140" s="3" t="s">
        <v>908</v>
      </c>
      <c r="G1140" s="4">
        <v>0.1</v>
      </c>
      <c r="H1140" s="30">
        <v>1.1290110545255789E-2</v>
      </c>
      <c r="I1140" s="30">
        <v>1.1290110545255789E-2</v>
      </c>
      <c r="J1140" s="3">
        <v>4.7186089697629783E-3</v>
      </c>
      <c r="K1140" s="3">
        <v>7.077913454644467E-3</v>
      </c>
      <c r="L1140" s="3">
        <v>2</v>
      </c>
      <c r="N1140" s="5">
        <v>1139</v>
      </c>
    </row>
    <row r="1141" spans="1:14" x14ac:dyDescent="0.25">
      <c r="A1141" s="3" t="s">
        <v>2008</v>
      </c>
      <c r="B1141" s="3" t="s">
        <v>907</v>
      </c>
      <c r="C1141" s="3" t="s">
        <v>894</v>
      </c>
      <c r="D1141" s="3">
        <v>11.865</v>
      </c>
      <c r="E1141" s="3">
        <v>11.865</v>
      </c>
      <c r="F1141" s="3">
        <v>11.865</v>
      </c>
      <c r="G1141" s="4">
        <v>11.865</v>
      </c>
      <c r="H1141" s="30">
        <v>6.2832643430577567E-2</v>
      </c>
      <c r="I1141" s="30">
        <v>6.2832643430577567E-2</v>
      </c>
      <c r="J1141" s="3">
        <v>1.0286374386588753E-2</v>
      </c>
      <c r="K1141" s="3">
        <v>1.5429561579883127E-2</v>
      </c>
      <c r="L1141" s="3">
        <v>2</v>
      </c>
      <c r="N1141" s="5">
        <v>1140</v>
      </c>
    </row>
    <row r="1142" spans="1:14" x14ac:dyDescent="0.25">
      <c r="A1142" s="3" t="s">
        <v>2009</v>
      </c>
      <c r="B1142" s="3" t="s">
        <v>910</v>
      </c>
      <c r="C1142" s="3" t="s">
        <v>907</v>
      </c>
      <c r="G1142" s="4">
        <v>0.1</v>
      </c>
      <c r="H1142" s="30">
        <v>2.3481426481355441E-2</v>
      </c>
      <c r="I1142" s="30">
        <v>2.3481426481355441E-2</v>
      </c>
      <c r="J1142" s="3">
        <v>9.3925896934867539E-3</v>
      </c>
      <c r="K1142" s="3">
        <v>1.4088884540230127E-2</v>
      </c>
      <c r="L1142" s="3">
        <v>2</v>
      </c>
      <c r="N1142" s="5">
        <v>1141</v>
      </c>
    </row>
    <row r="1143" spans="1:14" x14ac:dyDescent="0.25">
      <c r="A1143" s="3" t="s">
        <v>2010</v>
      </c>
      <c r="B1143" s="3" t="s">
        <v>910</v>
      </c>
      <c r="C1143" s="3" t="s">
        <v>912</v>
      </c>
      <c r="D1143" s="3">
        <v>9.57</v>
      </c>
      <c r="E1143" s="3">
        <v>9.57</v>
      </c>
      <c r="F1143" s="3">
        <v>9.57</v>
      </c>
      <c r="G1143" s="4">
        <v>9.57</v>
      </c>
      <c r="H1143" s="30">
        <v>2.3005202352677931E-2</v>
      </c>
      <c r="I1143" s="30">
        <v>2.3005202352677931E-2</v>
      </c>
      <c r="J1143" s="3">
        <v>1.1502601176338965E-2</v>
      </c>
      <c r="K1143" s="3">
        <v>4.6010404705355862E-2</v>
      </c>
      <c r="L1143" s="3">
        <v>2</v>
      </c>
      <c r="N1143" s="5">
        <v>1142</v>
      </c>
    </row>
    <row r="1144" spans="1:14" x14ac:dyDescent="0.25">
      <c r="A1144" s="34" t="s">
        <v>2011</v>
      </c>
      <c r="B1144" s="34" t="s">
        <v>937</v>
      </c>
      <c r="C1144" s="34" t="s">
        <v>910</v>
      </c>
      <c r="D1144" s="34"/>
      <c r="E1144" s="34"/>
      <c r="F1144" s="7">
        <v>14.62</v>
      </c>
      <c r="G1144" s="35">
        <v>2.2400000000000011</v>
      </c>
      <c r="H1144" s="39">
        <v>6.4306730943650293E-3</v>
      </c>
      <c r="I1144" s="39">
        <v>6.4306730943650293E-3</v>
      </c>
      <c r="J1144" s="34">
        <v>3.2693152779772355E-3</v>
      </c>
      <c r="K1144" s="34">
        <v>4.9039729169658526E-3</v>
      </c>
      <c r="L1144" s="34">
        <v>2</v>
      </c>
      <c r="M1144" s="34" t="s">
        <v>2104</v>
      </c>
      <c r="N1144" s="37">
        <v>1143</v>
      </c>
    </row>
    <row r="1145" spans="1:14" x14ac:dyDescent="0.25">
      <c r="A1145" s="3" t="s">
        <v>2012</v>
      </c>
      <c r="B1145" s="3" t="s">
        <v>909</v>
      </c>
      <c r="C1145" s="3" t="s">
        <v>911</v>
      </c>
      <c r="G1145" s="4">
        <v>6.7550000000000008</v>
      </c>
      <c r="H1145" s="30">
        <v>3.19936516844491E-2</v>
      </c>
      <c r="I1145" s="30">
        <v>3.19936516844491E-2</v>
      </c>
      <c r="J1145" s="3">
        <v>2.559492134755928E-2</v>
      </c>
      <c r="K1145" s="3">
        <v>3.8392382021338919E-2</v>
      </c>
      <c r="L1145" s="3">
        <v>2</v>
      </c>
      <c r="N1145" s="5">
        <v>1144</v>
      </c>
    </row>
    <row r="1146" spans="1:14" x14ac:dyDescent="0.25">
      <c r="A1146" s="3" t="s">
        <v>2013</v>
      </c>
      <c r="B1146" s="3" t="s">
        <v>913</v>
      </c>
      <c r="C1146" s="3" t="s">
        <v>1040</v>
      </c>
      <c r="D1146" s="3">
        <v>9.01</v>
      </c>
      <c r="E1146" s="3">
        <v>9.01</v>
      </c>
      <c r="F1146" s="3">
        <v>9.01</v>
      </c>
      <c r="G1146" s="4">
        <v>9.01</v>
      </c>
      <c r="H1146" s="30">
        <v>6.5779071621870338E-3</v>
      </c>
      <c r="I1146" s="30">
        <v>6.5779071621870338E-3</v>
      </c>
      <c r="J1146" s="3">
        <v>3.1299508704584868E-3</v>
      </c>
      <c r="K1146" s="3">
        <v>1.3614925412594509E-2</v>
      </c>
      <c r="L1146" s="3">
        <v>2</v>
      </c>
      <c r="N1146" s="5">
        <v>1145</v>
      </c>
    </row>
    <row r="1147" spans="1:14" x14ac:dyDescent="0.25">
      <c r="A1147" s="3" t="s">
        <v>2014</v>
      </c>
      <c r="B1147" s="3" t="s">
        <v>913</v>
      </c>
      <c r="C1147" s="3" t="s">
        <v>936</v>
      </c>
      <c r="G1147" s="4">
        <v>0.66000000000000048</v>
      </c>
      <c r="H1147" s="30">
        <v>3.7638936247152439E-3</v>
      </c>
      <c r="I1147" s="30">
        <v>3.7638936247152439E-3</v>
      </c>
      <c r="J1147" s="3">
        <v>3.0111148997721952E-3</v>
      </c>
      <c r="K1147" s="3">
        <v>4.5166723496582921E-3</v>
      </c>
      <c r="L1147" s="3">
        <v>2</v>
      </c>
      <c r="N1147" s="5">
        <v>1146</v>
      </c>
    </row>
    <row r="1148" spans="1:14" x14ac:dyDescent="0.25">
      <c r="A1148" s="3" t="s">
        <v>2015</v>
      </c>
      <c r="B1148" s="3" t="s">
        <v>1040</v>
      </c>
      <c r="C1148" s="3" t="s">
        <v>1041</v>
      </c>
      <c r="G1148" s="4">
        <v>0.1</v>
      </c>
      <c r="H1148" s="30">
        <v>2.08455785139567E-3</v>
      </c>
      <c r="I1148" s="30">
        <v>2.08455785139567E-3</v>
      </c>
      <c r="J1148" s="3">
        <v>1.6676462811165361E-3</v>
      </c>
      <c r="K1148" s="3">
        <v>2.5014694216748041E-3</v>
      </c>
      <c r="L1148" s="3">
        <v>2</v>
      </c>
      <c r="N1148" s="5">
        <v>1147</v>
      </c>
    </row>
    <row r="1149" spans="1:14" x14ac:dyDescent="0.25">
      <c r="A1149" s="3" t="s">
        <v>2016</v>
      </c>
      <c r="B1149" s="3" t="s">
        <v>1040</v>
      </c>
      <c r="C1149" s="3" t="s">
        <v>1041</v>
      </c>
      <c r="G1149" s="4">
        <v>8.91</v>
      </c>
      <c r="H1149" s="30">
        <v>2.4113336761912409E-3</v>
      </c>
      <c r="I1149" s="30">
        <v>2.4113336761912409E-3</v>
      </c>
      <c r="J1149" s="3">
        <v>1.2108275083276953E-3</v>
      </c>
      <c r="K1149" s="3">
        <v>4.8226673523824818E-3</v>
      </c>
      <c r="L1149" s="3">
        <v>2</v>
      </c>
      <c r="N1149" s="5">
        <v>1148</v>
      </c>
    </row>
    <row r="1150" spans="1:14" s="15" customFormat="1" x14ac:dyDescent="0.25">
      <c r="A1150" s="15" t="s">
        <v>2017</v>
      </c>
      <c r="B1150" s="15" t="s">
        <v>933</v>
      </c>
      <c r="C1150" s="15" t="s">
        <v>1042</v>
      </c>
      <c r="D1150" s="3">
        <v>1.26</v>
      </c>
      <c r="E1150" s="3">
        <v>1.26</v>
      </c>
      <c r="F1150" s="3">
        <v>1.26</v>
      </c>
      <c r="G1150" s="4">
        <v>1.26</v>
      </c>
      <c r="H1150" s="8">
        <v>250</v>
      </c>
      <c r="I1150" s="33">
        <v>0.12313882405525529</v>
      </c>
      <c r="J1150" s="15">
        <v>6.1569412027627647E-2</v>
      </c>
      <c r="K1150" s="15">
        <v>6.1569412027627646</v>
      </c>
      <c r="L1150" s="15">
        <v>2</v>
      </c>
      <c r="M1150" s="15" t="s">
        <v>2071</v>
      </c>
      <c r="N1150" s="16">
        <v>1149</v>
      </c>
    </row>
    <row r="1151" spans="1:14" x14ac:dyDescent="0.25">
      <c r="A1151" s="3" t="s">
        <v>2018</v>
      </c>
      <c r="B1151" s="3" t="s">
        <v>933</v>
      </c>
      <c r="C1151" s="3" t="s">
        <v>912</v>
      </c>
      <c r="G1151" s="4">
        <v>0.1</v>
      </c>
      <c r="H1151" s="30">
        <v>8.8840590732862585E-4</v>
      </c>
      <c r="I1151" s="30">
        <v>8.8840590732862585E-4</v>
      </c>
      <c r="J1151" s="3">
        <v>7.1072472586290074E-4</v>
      </c>
      <c r="K1151" s="3">
        <v>1.0660870887943511E-3</v>
      </c>
      <c r="L1151" s="3">
        <v>2</v>
      </c>
      <c r="N1151" s="5">
        <v>1150</v>
      </c>
    </row>
    <row r="1152" spans="1:14" x14ac:dyDescent="0.25">
      <c r="A1152" s="3" t="s">
        <v>2019</v>
      </c>
      <c r="B1152" s="3" t="s">
        <v>1031</v>
      </c>
      <c r="C1152" s="3" t="s">
        <v>915</v>
      </c>
      <c r="G1152" s="4">
        <v>0.78999999999999559</v>
      </c>
      <c r="H1152" s="30">
        <v>7.7868374979044041E-4</v>
      </c>
      <c r="I1152" s="30">
        <v>7.7868374979044041E-4</v>
      </c>
      <c r="J1152" s="3">
        <v>6.2294699983235242E-4</v>
      </c>
      <c r="K1152" s="3">
        <v>9.3442049974852841E-4</v>
      </c>
      <c r="L1152" s="3">
        <v>2</v>
      </c>
      <c r="N1152" s="5">
        <v>1151</v>
      </c>
    </row>
    <row r="1153" spans="1:14" x14ac:dyDescent="0.25">
      <c r="A1153" s="3" t="s">
        <v>2020</v>
      </c>
      <c r="B1153" s="3" t="s">
        <v>915</v>
      </c>
      <c r="C1153" s="3" t="s">
        <v>918</v>
      </c>
      <c r="G1153" s="4">
        <v>0.88999999999999557</v>
      </c>
      <c r="H1153" s="30">
        <v>3.041437221336245E-3</v>
      </c>
      <c r="I1153" s="30">
        <v>3.041437221336245E-3</v>
      </c>
      <c r="J1153" s="3">
        <v>2.4331497770689963E-3</v>
      </c>
      <c r="K1153" s="3">
        <v>3.6497246656034938E-3</v>
      </c>
      <c r="L1153" s="3">
        <v>2</v>
      </c>
      <c r="N1153" s="5">
        <v>1152</v>
      </c>
    </row>
    <row r="1154" spans="1:14" x14ac:dyDescent="0.25">
      <c r="A1154" s="3" t="s">
        <v>2021</v>
      </c>
      <c r="B1154" s="3" t="s">
        <v>914</v>
      </c>
      <c r="C1154" s="3" t="s">
        <v>916</v>
      </c>
      <c r="G1154" s="4">
        <v>13.784999999999931</v>
      </c>
      <c r="H1154" s="30">
        <v>7.6002647239374922E-3</v>
      </c>
      <c r="I1154" s="30">
        <v>7.6002647239374922E-3</v>
      </c>
      <c r="J1154" s="3">
        <v>6.080211779149994E-3</v>
      </c>
      <c r="K1154" s="3">
        <v>9.1203176687249896E-3</v>
      </c>
      <c r="L1154" s="3">
        <v>2</v>
      </c>
      <c r="N1154" s="5">
        <v>1153</v>
      </c>
    </row>
    <row r="1155" spans="1:14" s="15" customFormat="1" x14ac:dyDescent="0.25">
      <c r="A1155" s="15" t="s">
        <v>2022</v>
      </c>
      <c r="B1155" s="15" t="s">
        <v>916</v>
      </c>
      <c r="C1155" s="15" t="s">
        <v>1043</v>
      </c>
      <c r="D1155" s="3"/>
      <c r="E1155" s="4"/>
      <c r="F1155" s="3">
        <v>6.46</v>
      </c>
      <c r="G1155" s="4">
        <v>13.684999999999929</v>
      </c>
      <c r="H1155" s="33">
        <v>6.7712962420858752E-3</v>
      </c>
      <c r="I1155" s="33">
        <v>6.7712962420858752E-3</v>
      </c>
      <c r="J1155" s="15">
        <v>3.3856481210429376E-3</v>
      </c>
      <c r="K1155" s="15">
        <v>0.56222214846381113</v>
      </c>
      <c r="L1155" s="15">
        <v>2</v>
      </c>
      <c r="M1155" s="15" t="s">
        <v>2072</v>
      </c>
      <c r="N1155" s="16">
        <v>1154</v>
      </c>
    </row>
    <row r="1156" spans="1:14" x14ac:dyDescent="0.25">
      <c r="A1156" s="3" t="s">
        <v>2023</v>
      </c>
      <c r="B1156" s="3" t="s">
        <v>1031</v>
      </c>
      <c r="C1156" s="3" t="s">
        <v>923</v>
      </c>
      <c r="G1156" s="4">
        <v>1.5999999999999679</v>
      </c>
      <c r="H1156" s="30">
        <v>6.6328574877469676E-3</v>
      </c>
      <c r="I1156" s="30">
        <v>6.6328574877469676E-3</v>
      </c>
      <c r="J1156" s="3">
        <v>5.3062859901975741E-3</v>
      </c>
      <c r="K1156" s="3">
        <v>7.9594289852963612E-3</v>
      </c>
      <c r="L1156" s="3">
        <v>2</v>
      </c>
      <c r="N1156" s="5">
        <v>1155</v>
      </c>
    </row>
    <row r="1157" spans="1:14" x14ac:dyDescent="0.25">
      <c r="A1157" s="3" t="s">
        <v>2024</v>
      </c>
      <c r="B1157" s="3" t="s">
        <v>921</v>
      </c>
      <c r="C1157" s="3" t="s">
        <v>905</v>
      </c>
      <c r="G1157" s="4">
        <v>0.98499999999999976</v>
      </c>
      <c r="H1157" s="30">
        <v>2.1008971726103859E-2</v>
      </c>
      <c r="I1157" s="30">
        <v>2.1008971726103859E-2</v>
      </c>
      <c r="J1157" s="3">
        <v>1.6807177380883088E-2</v>
      </c>
      <c r="K1157" s="3">
        <v>2.5210766071324629E-2</v>
      </c>
      <c r="L1157" s="3">
        <v>2</v>
      </c>
      <c r="N1157" s="5">
        <v>1156</v>
      </c>
    </row>
    <row r="1158" spans="1:14" x14ac:dyDescent="0.25">
      <c r="A1158" s="3" t="s">
        <v>2025</v>
      </c>
      <c r="B1158" s="3" t="s">
        <v>1044</v>
      </c>
      <c r="C1158" s="3" t="s">
        <v>921</v>
      </c>
      <c r="D1158" s="3">
        <v>15.17</v>
      </c>
      <c r="E1158" s="3">
        <v>15.17</v>
      </c>
      <c r="F1158" s="3">
        <v>15.17</v>
      </c>
      <c r="G1158" s="4">
        <v>15.17</v>
      </c>
      <c r="H1158" s="30">
        <v>2.927591644003049E-2</v>
      </c>
      <c r="I1158" s="30">
        <v>2.927591644003049E-2</v>
      </c>
      <c r="J1158" s="3">
        <v>1.2273478134475928E-2</v>
      </c>
      <c r="K1158" s="3">
        <v>1.8410217201713892E-2</v>
      </c>
      <c r="L1158" s="3">
        <v>2</v>
      </c>
      <c r="N1158" s="5">
        <v>1157</v>
      </c>
    </row>
    <row r="1159" spans="1:14" x14ac:dyDescent="0.25">
      <c r="A1159" s="3" t="s">
        <v>2026</v>
      </c>
      <c r="B1159" s="3" t="s">
        <v>901</v>
      </c>
      <c r="C1159" s="3" t="s">
        <v>1038</v>
      </c>
      <c r="G1159" s="4">
        <v>10.855</v>
      </c>
      <c r="H1159" s="30">
        <v>2.4832608285385371E-2</v>
      </c>
      <c r="I1159" s="30">
        <v>2.4832608285385371E-2</v>
      </c>
      <c r="J1159" s="3">
        <v>1.2416304142692685E-2</v>
      </c>
      <c r="K1159" s="3">
        <v>4.9665216570770741E-2</v>
      </c>
      <c r="L1159" s="3">
        <v>2</v>
      </c>
      <c r="N1159" s="5">
        <v>1158</v>
      </c>
    </row>
    <row r="1160" spans="1:14" x14ac:dyDescent="0.25">
      <c r="A1160" s="3" t="s">
        <v>2027</v>
      </c>
      <c r="B1160" s="3" t="s">
        <v>1038</v>
      </c>
      <c r="C1160" s="3" t="s">
        <v>1044</v>
      </c>
      <c r="G1160" s="4">
        <v>15.27</v>
      </c>
      <c r="H1160" s="30">
        <v>1.9829141157248421E-2</v>
      </c>
      <c r="I1160" s="30">
        <v>1.9829141157248421E-2</v>
      </c>
      <c r="J1160" s="3">
        <v>3.3784460554749777E-3</v>
      </c>
      <c r="K1160" s="3">
        <v>5.0676690832124659E-3</v>
      </c>
      <c r="L1160" s="3">
        <v>2</v>
      </c>
      <c r="N1160" s="5">
        <v>1159</v>
      </c>
    </row>
    <row r="1161" spans="1:14" x14ac:dyDescent="0.25">
      <c r="A1161" s="3" t="s">
        <v>2028</v>
      </c>
      <c r="B1161" s="3" t="s">
        <v>1044</v>
      </c>
      <c r="C1161" s="3" t="s">
        <v>1039</v>
      </c>
      <c r="G1161" s="4">
        <v>0.1</v>
      </c>
      <c r="H1161" s="30">
        <v>4.2184245458387268E-2</v>
      </c>
      <c r="I1161" s="30">
        <v>4.2184245458387268E-2</v>
      </c>
      <c r="J1161" s="3">
        <v>8.3687904790992317E-3</v>
      </c>
      <c r="K1161" s="3">
        <v>1.2553185718648848E-2</v>
      </c>
      <c r="L1161" s="3">
        <v>2</v>
      </c>
      <c r="N1161" s="5">
        <v>1160</v>
      </c>
    </row>
    <row r="1162" spans="1:14" x14ac:dyDescent="0.25">
      <c r="A1162" s="3" t="s">
        <v>2029</v>
      </c>
      <c r="B1162" s="3" t="s">
        <v>922</v>
      </c>
      <c r="C1162" s="3" t="s">
        <v>1030</v>
      </c>
      <c r="G1162" s="4">
        <v>34.860000000000007</v>
      </c>
      <c r="H1162" s="30">
        <v>2.3045153883038232E-2</v>
      </c>
      <c r="I1162" s="30">
        <v>2.3045153883038232E-2</v>
      </c>
      <c r="J1162" s="3">
        <v>9.5308794454075779E-3</v>
      </c>
      <c r="K1162" s="3">
        <v>1.4296319168111363E-2</v>
      </c>
      <c r="L1162" s="3">
        <v>2</v>
      </c>
      <c r="N1162" s="5">
        <v>1161</v>
      </c>
    </row>
    <row r="1163" spans="1:14" x14ac:dyDescent="0.25">
      <c r="A1163" s="3" t="s">
        <v>2030</v>
      </c>
      <c r="B1163" s="3" t="s">
        <v>925</v>
      </c>
      <c r="C1163" s="3" t="s">
        <v>441</v>
      </c>
      <c r="G1163" s="4">
        <v>11.78000000000003</v>
      </c>
      <c r="H1163" s="30">
        <v>1.638259383607393E-2</v>
      </c>
      <c r="I1163" s="30">
        <v>1.638259383607393E-2</v>
      </c>
      <c r="J1163" s="3">
        <v>1.3106075068859144E-2</v>
      </c>
      <c r="K1163" s="3">
        <v>1.9659112603288714E-2</v>
      </c>
      <c r="L1163" s="3">
        <v>2</v>
      </c>
      <c r="N1163" s="5">
        <v>1162</v>
      </c>
    </row>
    <row r="1164" spans="1:14" x14ac:dyDescent="0.25">
      <c r="A1164" s="3" t="s">
        <v>2031</v>
      </c>
      <c r="B1164" s="3" t="s">
        <v>440</v>
      </c>
      <c r="C1164" s="3" t="s">
        <v>924</v>
      </c>
      <c r="G1164" s="4">
        <v>0.1</v>
      </c>
      <c r="H1164" s="30">
        <v>1.577040613254653E-3</v>
      </c>
      <c r="I1164" s="30">
        <v>1.577040613254653E-3</v>
      </c>
      <c r="J1164" s="3">
        <v>1.2616324906037225E-3</v>
      </c>
      <c r="K1164" s="3">
        <v>1.8924487359055836E-3</v>
      </c>
      <c r="L1164" s="3">
        <v>2</v>
      </c>
      <c r="N1164" s="5">
        <v>1163</v>
      </c>
    </row>
    <row r="1165" spans="1:14" x14ac:dyDescent="0.25">
      <c r="A1165" s="3" t="s">
        <v>2032</v>
      </c>
      <c r="B1165" s="3" t="s">
        <v>439</v>
      </c>
      <c r="C1165" s="3" t="s">
        <v>926</v>
      </c>
      <c r="G1165" s="4">
        <v>11.480000000000031</v>
      </c>
      <c r="H1165" s="30">
        <v>1.541654804014754E-3</v>
      </c>
      <c r="I1165" s="30">
        <v>1.541654804014754E-3</v>
      </c>
      <c r="J1165" s="3">
        <f>I1165*0.1</f>
        <v>1.5416548040147541E-4</v>
      </c>
      <c r="K1165" s="3">
        <f>I1165*10</f>
        <v>1.541654804014754E-2</v>
      </c>
      <c r="L1165" s="3">
        <v>2</v>
      </c>
      <c r="N1165" s="5">
        <v>1164</v>
      </c>
    </row>
    <row r="1166" spans="1:14" x14ac:dyDescent="0.25">
      <c r="A1166" s="3" t="s">
        <v>2033</v>
      </c>
      <c r="B1166" s="3" t="s">
        <v>920</v>
      </c>
      <c r="C1166" s="3" t="s">
        <v>925</v>
      </c>
      <c r="G1166" s="4">
        <v>0.1</v>
      </c>
      <c r="H1166" s="30">
        <v>4.4953105139461918E-3</v>
      </c>
      <c r="I1166" s="30">
        <v>4.4953105139461918E-3</v>
      </c>
      <c r="J1166" s="3">
        <v>1.9804940020381177E-3</v>
      </c>
      <c r="K1166" s="3">
        <v>2.9707410030571763E-3</v>
      </c>
      <c r="L1166" s="3">
        <v>2</v>
      </c>
      <c r="N1166" s="5">
        <v>1165</v>
      </c>
    </row>
    <row r="1167" spans="1:14" x14ac:dyDescent="0.25">
      <c r="A1167" s="3" t="s">
        <v>2034</v>
      </c>
      <c r="B1167" s="3" t="s">
        <v>1030</v>
      </c>
      <c r="C1167" s="3" t="s">
        <v>927</v>
      </c>
      <c r="G1167" s="4">
        <v>46.58</v>
      </c>
      <c r="H1167" s="30">
        <v>2.375030732553917E-2</v>
      </c>
      <c r="I1167" s="30">
        <v>2.375030732553917E-2</v>
      </c>
      <c r="J1167" s="3">
        <v>2.2274462789574331E-2</v>
      </c>
      <c r="K1167" s="3">
        <v>3.341169418436149E-2</v>
      </c>
      <c r="L1167" s="3">
        <v>2</v>
      </c>
      <c r="N1167" s="5">
        <v>1166</v>
      </c>
    </row>
    <row r="1168" spans="1:14" x14ac:dyDescent="0.25">
      <c r="A1168" s="3" t="s">
        <v>2035</v>
      </c>
      <c r="B1168" s="3" t="s">
        <v>816</v>
      </c>
      <c r="C1168" s="3" t="s">
        <v>422</v>
      </c>
      <c r="G1168" s="4">
        <v>49.679999999999893</v>
      </c>
      <c r="H1168" s="30">
        <v>1.2260019974974629E-2</v>
      </c>
      <c r="I1168" s="30">
        <v>1.2260019974974629E-2</v>
      </c>
      <c r="J1168" s="3">
        <v>6.1721574555696984E-3</v>
      </c>
      <c r="K1168" s="3">
        <v>9.2582361833545464E-3</v>
      </c>
      <c r="L1168" s="3">
        <v>2</v>
      </c>
      <c r="N1168" s="5">
        <v>1167</v>
      </c>
    </row>
    <row r="1169" spans="1:14" s="14" customFormat="1" x14ac:dyDescent="0.25">
      <c r="A1169" s="14" t="s">
        <v>2036</v>
      </c>
      <c r="B1169" s="14" t="s">
        <v>1045</v>
      </c>
      <c r="C1169" s="14" t="s">
        <v>899</v>
      </c>
      <c r="D1169" s="3"/>
      <c r="E1169" s="4"/>
      <c r="F1169" s="3">
        <v>8</v>
      </c>
      <c r="G1169" s="4">
        <v>22.035</v>
      </c>
      <c r="H1169" s="32">
        <v>3.0975257476041872E-2</v>
      </c>
      <c r="I1169" s="32">
        <v>3.0975257476041872E-2</v>
      </c>
      <c r="J1169" s="14">
        <v>1.5487628738020936E-2</v>
      </c>
      <c r="K1169" s="14">
        <v>6.1950514952083743E-2</v>
      </c>
      <c r="L1169" s="14">
        <v>2</v>
      </c>
      <c r="M1169" s="14" t="s">
        <v>2073</v>
      </c>
      <c r="N1169" s="5">
        <v>1168</v>
      </c>
    </row>
    <row r="1170" spans="1:14" x14ac:dyDescent="0.25">
      <c r="A1170" s="3" t="s">
        <v>2037</v>
      </c>
      <c r="B1170" s="3" t="s">
        <v>929</v>
      </c>
      <c r="C1170" s="3" t="s">
        <v>898</v>
      </c>
      <c r="G1170" s="4">
        <v>1.66</v>
      </c>
      <c r="H1170" s="30">
        <v>9.1690544843157432E-3</v>
      </c>
      <c r="I1170" s="30">
        <v>9.1690544843157432E-3</v>
      </c>
      <c r="J1170" s="3">
        <v>7.1042283758806007E-3</v>
      </c>
      <c r="K1170" s="3">
        <v>1.8338108968631486E-2</v>
      </c>
      <c r="L1170" s="3">
        <v>2</v>
      </c>
      <c r="N1170" s="5">
        <v>1169</v>
      </c>
    </row>
    <row r="1171" spans="1:14" x14ac:dyDescent="0.25">
      <c r="A1171" s="3" t="s">
        <v>2038</v>
      </c>
      <c r="B1171" s="3" t="s">
        <v>929</v>
      </c>
      <c r="C1171" s="3" t="s">
        <v>895</v>
      </c>
      <c r="G1171" s="4">
        <v>4.34</v>
      </c>
      <c r="H1171" s="30">
        <v>1.726876028451219E-3</v>
      </c>
      <c r="I1171" s="30">
        <v>1.726876028451219E-3</v>
      </c>
      <c r="J1171" s="3">
        <v>9.1141049453588574E-4</v>
      </c>
      <c r="K1171" s="3">
        <v>2.2598889367378937E-3</v>
      </c>
      <c r="L1171" s="3">
        <v>2</v>
      </c>
      <c r="N1171" s="5">
        <v>1170</v>
      </c>
    </row>
    <row r="1172" spans="1:14" x14ac:dyDescent="0.25">
      <c r="A1172" s="3" t="s">
        <v>2039</v>
      </c>
      <c r="B1172" s="3" t="s">
        <v>1041</v>
      </c>
      <c r="C1172" s="3" t="s">
        <v>1033</v>
      </c>
      <c r="G1172" s="4">
        <v>9.01</v>
      </c>
      <c r="H1172" s="30">
        <v>1.328998883855214E-2</v>
      </c>
      <c r="I1172" s="30">
        <v>1.328998883855214E-2</v>
      </c>
      <c r="J1172" s="3">
        <v>6.4789756293734922E-3</v>
      </c>
      <c r="K1172" s="3">
        <v>1.4550137449931855E-2</v>
      </c>
      <c r="L1172" s="3">
        <v>2</v>
      </c>
      <c r="N1172" s="5">
        <v>1171</v>
      </c>
    </row>
    <row r="1173" spans="1:14" x14ac:dyDescent="0.25">
      <c r="A1173" s="3" t="s">
        <v>2040</v>
      </c>
      <c r="B1173" s="3" t="s">
        <v>940</v>
      </c>
      <c r="C1173" s="3" t="s">
        <v>1019</v>
      </c>
      <c r="G1173" s="4">
        <v>14.44</v>
      </c>
      <c r="H1173" s="30">
        <v>6.2641269024105245E-2</v>
      </c>
      <c r="I1173" s="30">
        <v>6.2641269024105245E-2</v>
      </c>
      <c r="J1173" s="3">
        <v>3.3161111033200734E-2</v>
      </c>
      <c r="K1173" s="3">
        <v>4.974166654980109E-2</v>
      </c>
      <c r="L1173" s="3">
        <v>2</v>
      </c>
      <c r="N1173" s="5">
        <v>1172</v>
      </c>
    </row>
    <row r="1174" spans="1:14" x14ac:dyDescent="0.25">
      <c r="A1174" s="3" t="s">
        <v>2041</v>
      </c>
      <c r="B1174" s="3" t="s">
        <v>887</v>
      </c>
      <c r="C1174" s="3" t="s">
        <v>888</v>
      </c>
      <c r="G1174" s="4">
        <v>0.1</v>
      </c>
      <c r="H1174" s="30">
        <v>6.4579116041787524E-3</v>
      </c>
      <c r="I1174" s="30">
        <v>6.4579116041787524E-3</v>
      </c>
      <c r="J1174" s="3">
        <v>5.1663292833430026E-3</v>
      </c>
      <c r="K1174" s="3">
        <v>7.7494939250145022E-3</v>
      </c>
      <c r="L1174" s="3">
        <v>2</v>
      </c>
      <c r="N1174" s="5">
        <v>1173</v>
      </c>
    </row>
  </sheetData>
  <sortState xmlns:xlrd2="http://schemas.microsoft.com/office/spreadsheetml/2017/richdata2" ref="A2:N1174">
    <sortCondition ref="N2:N117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D1DD-FB2A-4A4E-97E2-468EFB3F7101}">
  <dimension ref="A1:H111"/>
  <sheetViews>
    <sheetView topLeftCell="A13" zoomScale="115" zoomScaleNormal="115" workbookViewId="0">
      <selection activeCell="E37" sqref="E37"/>
    </sheetView>
  </sheetViews>
  <sheetFormatPr defaultColWidth="11.453125" defaultRowHeight="14" x14ac:dyDescent="0.25"/>
  <cols>
    <col min="1" max="1" width="7.1796875" style="9" customWidth="1"/>
    <col min="2" max="2" width="9" style="9" customWidth="1"/>
    <col min="3" max="3" width="5" style="9" customWidth="1"/>
    <col min="4" max="4" width="24.6328125" style="9" customWidth="1"/>
    <col min="5" max="5" width="25" style="9" customWidth="1"/>
    <col min="6" max="16384" width="11.453125" style="9"/>
  </cols>
  <sheetData>
    <row r="1" spans="1:8" x14ac:dyDescent="0.25">
      <c r="A1" s="1" t="s">
        <v>2</v>
      </c>
      <c r="B1" s="1" t="s">
        <v>13</v>
      </c>
      <c r="C1" s="1" t="s">
        <v>14</v>
      </c>
      <c r="D1" s="9" t="s">
        <v>2043</v>
      </c>
      <c r="H1" s="10" t="s">
        <v>2111</v>
      </c>
    </row>
    <row r="2" spans="1:8" ht="15.5" x14ac:dyDescent="0.25">
      <c r="A2" s="9" t="s">
        <v>420</v>
      </c>
      <c r="B2" s="9" t="s">
        <v>136</v>
      </c>
      <c r="C2" s="9">
        <v>20</v>
      </c>
      <c r="E2" s="7"/>
      <c r="H2" s="9">
        <v>20</v>
      </c>
    </row>
    <row r="3" spans="1:8" ht="15.5" x14ac:dyDescent="0.25">
      <c r="A3" s="9" t="s">
        <v>419</v>
      </c>
      <c r="B3" s="9" t="s">
        <v>137</v>
      </c>
      <c r="C3" s="9">
        <v>20</v>
      </c>
      <c r="E3" s="7"/>
      <c r="H3" s="9">
        <v>30</v>
      </c>
    </row>
    <row r="4" spans="1:8" ht="15.5" x14ac:dyDescent="0.25">
      <c r="A4" s="9" t="s">
        <v>412</v>
      </c>
      <c r="B4" s="9" t="s">
        <v>170</v>
      </c>
      <c r="C4" s="9">
        <v>1</v>
      </c>
      <c r="E4" s="7"/>
      <c r="H4" s="9">
        <v>12</v>
      </c>
    </row>
    <row r="5" spans="1:8" ht="15.5" x14ac:dyDescent="0.25">
      <c r="A5" s="9" t="s">
        <v>411</v>
      </c>
      <c r="B5" s="9" t="s">
        <v>172</v>
      </c>
      <c r="C5" s="9">
        <v>18</v>
      </c>
      <c r="E5" s="7"/>
      <c r="H5" s="9">
        <v>36</v>
      </c>
    </row>
    <row r="6" spans="1:8" ht="15.5" x14ac:dyDescent="0.25">
      <c r="A6" s="9" t="s">
        <v>403</v>
      </c>
      <c r="B6" s="9" t="s">
        <v>189</v>
      </c>
      <c r="C6" s="9">
        <v>12</v>
      </c>
      <c r="E6" s="7"/>
      <c r="H6" s="9">
        <v>12</v>
      </c>
    </row>
    <row r="7" spans="1:8" ht="15.5" x14ac:dyDescent="0.25">
      <c r="A7" s="1" t="s">
        <v>401</v>
      </c>
      <c r="B7" s="7" t="s">
        <v>310</v>
      </c>
      <c r="C7" s="8">
        <v>95</v>
      </c>
      <c r="E7" s="7"/>
      <c r="H7" s="8">
        <v>95</v>
      </c>
    </row>
    <row r="8" spans="1:8" ht="15.5" x14ac:dyDescent="0.25">
      <c r="A8" s="1" t="s">
        <v>400</v>
      </c>
      <c r="B8" s="7" t="s">
        <v>247</v>
      </c>
      <c r="C8" s="8">
        <v>31</v>
      </c>
      <c r="E8" s="7"/>
      <c r="H8" s="8">
        <v>31</v>
      </c>
    </row>
    <row r="9" spans="1:8" ht="15.5" x14ac:dyDescent="0.25">
      <c r="A9" s="1" t="s">
        <v>397</v>
      </c>
      <c r="B9" s="7" t="s">
        <v>1180</v>
      </c>
      <c r="C9" s="8">
        <v>25</v>
      </c>
      <c r="E9" s="7"/>
      <c r="H9" s="8">
        <v>33</v>
      </c>
    </row>
    <row r="10" spans="1:8" ht="15.5" x14ac:dyDescent="0.25">
      <c r="A10" s="9" t="s">
        <v>407</v>
      </c>
      <c r="B10" s="9" t="s">
        <v>1401</v>
      </c>
      <c r="C10" s="9">
        <v>20</v>
      </c>
      <c r="E10" s="7"/>
      <c r="H10" s="9">
        <v>20</v>
      </c>
    </row>
    <row r="11" spans="1:8" ht="15.5" x14ac:dyDescent="0.25">
      <c r="A11" s="9" t="s">
        <v>418</v>
      </c>
      <c r="B11" s="9" t="s">
        <v>1409</v>
      </c>
      <c r="C11" s="9">
        <v>30</v>
      </c>
      <c r="E11" s="7"/>
      <c r="H11" s="9">
        <v>9</v>
      </c>
    </row>
    <row r="12" spans="1:8" x14ac:dyDescent="0.25">
      <c r="A12" s="9" t="s">
        <v>421</v>
      </c>
      <c r="B12" s="9" t="s">
        <v>1413</v>
      </c>
      <c r="C12" s="9">
        <v>1</v>
      </c>
      <c r="H12" s="9">
        <v>16</v>
      </c>
    </row>
    <row r="13" spans="1:8" ht="15.5" x14ac:dyDescent="0.25">
      <c r="A13" s="9" t="s">
        <v>408</v>
      </c>
      <c r="B13" s="9" t="s">
        <v>1436</v>
      </c>
      <c r="C13" s="9">
        <v>80</v>
      </c>
      <c r="E13" s="7"/>
      <c r="H13" s="9">
        <v>108</v>
      </c>
    </row>
    <row r="14" spans="1:8" ht="15.5" x14ac:dyDescent="0.25">
      <c r="A14" s="9" t="s">
        <v>415</v>
      </c>
      <c r="B14" s="9" t="s">
        <v>1453</v>
      </c>
      <c r="C14" s="9">
        <v>30</v>
      </c>
      <c r="E14" s="7"/>
      <c r="H14" s="9">
        <v>50</v>
      </c>
    </row>
    <row r="15" spans="1:8" ht="15.5" x14ac:dyDescent="0.25">
      <c r="A15" s="9" t="s">
        <v>416</v>
      </c>
      <c r="B15" s="9" t="s">
        <v>1454</v>
      </c>
      <c r="C15" s="9">
        <v>30</v>
      </c>
      <c r="E15" s="7"/>
      <c r="H15" s="9">
        <v>50</v>
      </c>
    </row>
    <row r="16" spans="1:8" ht="15.5" x14ac:dyDescent="0.25">
      <c r="A16" s="9" t="s">
        <v>417</v>
      </c>
      <c r="B16" s="9" t="s">
        <v>1482</v>
      </c>
      <c r="C16" s="9">
        <v>601</v>
      </c>
      <c r="E16" s="7"/>
      <c r="H16" s="9">
        <v>601</v>
      </c>
    </row>
    <row r="17" spans="1:8" ht="15.5" x14ac:dyDescent="0.25">
      <c r="A17" s="9" t="s">
        <v>413</v>
      </c>
      <c r="B17" s="9" t="s">
        <v>1505</v>
      </c>
      <c r="C17" s="9">
        <v>6</v>
      </c>
      <c r="D17" s="9" t="s">
        <v>2042</v>
      </c>
      <c r="E17" s="7"/>
      <c r="H17" s="9">
        <v>10</v>
      </c>
    </row>
    <row r="18" spans="1:8" ht="15.5" x14ac:dyDescent="0.25">
      <c r="A18" s="9" t="s">
        <v>410</v>
      </c>
      <c r="B18" s="9" t="s">
        <v>1509</v>
      </c>
      <c r="C18" s="9">
        <v>15</v>
      </c>
      <c r="E18" s="7"/>
      <c r="H18" s="9">
        <v>15</v>
      </c>
    </row>
    <row r="19" spans="1:8" ht="15.5" x14ac:dyDescent="0.25">
      <c r="A19" s="9" t="s">
        <v>405</v>
      </c>
      <c r="B19" s="9" t="s">
        <v>1517</v>
      </c>
      <c r="C19" s="9">
        <v>5</v>
      </c>
      <c r="E19" s="7"/>
      <c r="H19" s="9">
        <v>12</v>
      </c>
    </row>
    <row r="20" spans="1:8" ht="15.5" x14ac:dyDescent="0.25">
      <c r="A20" s="9" t="s">
        <v>406</v>
      </c>
      <c r="B20" s="9" t="s">
        <v>1523</v>
      </c>
      <c r="C20" s="9">
        <v>599</v>
      </c>
      <c r="E20" s="7"/>
      <c r="H20" s="9">
        <v>599</v>
      </c>
    </row>
    <row r="21" spans="1:8" ht="15.5" x14ac:dyDescent="0.25">
      <c r="A21" s="9" t="s">
        <v>404</v>
      </c>
      <c r="B21" s="9" t="s">
        <v>1524</v>
      </c>
      <c r="C21" s="9">
        <v>236</v>
      </c>
      <c r="E21" s="7"/>
      <c r="H21" s="9">
        <v>236</v>
      </c>
    </row>
    <row r="22" spans="1:8" ht="15.5" x14ac:dyDescent="0.25">
      <c r="A22" s="9" t="s">
        <v>409</v>
      </c>
      <c r="B22" s="9" t="s">
        <v>1532</v>
      </c>
      <c r="C22" s="9">
        <v>20</v>
      </c>
      <c r="E22" s="7"/>
      <c r="H22" s="9">
        <v>20</v>
      </c>
    </row>
    <row r="23" spans="1:8" ht="15.5" x14ac:dyDescent="0.25">
      <c r="A23" s="1" t="s">
        <v>398</v>
      </c>
      <c r="B23" s="7" t="s">
        <v>1613</v>
      </c>
      <c r="C23" s="8">
        <v>2</v>
      </c>
      <c r="E23" s="7"/>
      <c r="H23" s="8">
        <v>2</v>
      </c>
    </row>
    <row r="24" spans="1:8" ht="15.5" x14ac:dyDescent="0.25">
      <c r="A24" s="1" t="s">
        <v>402</v>
      </c>
      <c r="B24" s="7" t="s">
        <v>1618</v>
      </c>
      <c r="C24" s="8">
        <v>7</v>
      </c>
      <c r="E24" s="7"/>
      <c r="H24" s="8">
        <v>11</v>
      </c>
    </row>
    <row r="25" spans="1:8" ht="15.5" x14ac:dyDescent="0.25">
      <c r="A25" s="1" t="s">
        <v>399</v>
      </c>
      <c r="B25" s="7" t="s">
        <v>1634</v>
      </c>
      <c r="C25" s="8">
        <v>25</v>
      </c>
      <c r="E25" s="7"/>
      <c r="H25" s="8">
        <v>50</v>
      </c>
    </row>
    <row r="26" spans="1:8" ht="15.5" x14ac:dyDescent="0.25">
      <c r="A26" s="1" t="s">
        <v>396</v>
      </c>
      <c r="B26" s="7" t="s">
        <v>1803</v>
      </c>
      <c r="C26" s="8">
        <v>50</v>
      </c>
      <c r="E26" s="7"/>
      <c r="H26" s="8">
        <v>84</v>
      </c>
    </row>
    <row r="27" spans="1:8" ht="15.5" x14ac:dyDescent="0.25">
      <c r="A27" s="1" t="s">
        <v>395</v>
      </c>
      <c r="B27" s="7" t="s">
        <v>1861</v>
      </c>
      <c r="C27" s="8">
        <v>40</v>
      </c>
      <c r="E27" s="7"/>
      <c r="H27" s="8">
        <v>97</v>
      </c>
    </row>
    <row r="28" spans="1:8" ht="15.5" x14ac:dyDescent="0.25">
      <c r="A28" s="9" t="s">
        <v>414</v>
      </c>
      <c r="B28" s="9" t="s">
        <v>1974</v>
      </c>
      <c r="C28" s="9">
        <v>150</v>
      </c>
      <c r="E28" s="7"/>
      <c r="H28" s="9">
        <v>266</v>
      </c>
    </row>
    <row r="29" spans="1:8" ht="15.5" x14ac:dyDescent="0.25">
      <c r="A29" s="9" t="s">
        <v>2112</v>
      </c>
      <c r="B29" s="14" t="s">
        <v>238</v>
      </c>
      <c r="C29" s="8">
        <v>8</v>
      </c>
      <c r="D29" s="14" t="s">
        <v>2054</v>
      </c>
    </row>
    <row r="30" spans="1:8" ht="15.5" x14ac:dyDescent="0.25">
      <c r="A30" s="9" t="s">
        <v>2113</v>
      </c>
      <c r="B30" s="14" t="s">
        <v>1058</v>
      </c>
      <c r="C30" s="8">
        <v>0.1</v>
      </c>
      <c r="D30" s="14" t="s">
        <v>2055</v>
      </c>
    </row>
    <row r="31" spans="1:8" ht="15.5" x14ac:dyDescent="0.25">
      <c r="A31" s="9" t="s">
        <v>2114</v>
      </c>
      <c r="B31" s="14" t="s">
        <v>1410</v>
      </c>
      <c r="C31" s="8">
        <v>30</v>
      </c>
      <c r="D31" s="14" t="s">
        <v>2057</v>
      </c>
    </row>
    <row r="32" spans="1:8" ht="15.5" x14ac:dyDescent="0.25">
      <c r="A32" s="9" t="s">
        <v>2115</v>
      </c>
      <c r="B32" s="14" t="s">
        <v>1446</v>
      </c>
      <c r="C32" s="8">
        <v>0.1</v>
      </c>
      <c r="D32" s="14" t="s">
        <v>2060</v>
      </c>
    </row>
    <row r="33" spans="1:4" ht="15.5" x14ac:dyDescent="0.25">
      <c r="A33" s="9" t="s">
        <v>2116</v>
      </c>
      <c r="B33" s="14" t="s">
        <v>144</v>
      </c>
      <c r="C33" s="8">
        <v>0.1</v>
      </c>
      <c r="D33" s="14" t="s">
        <v>2061</v>
      </c>
    </row>
    <row r="34" spans="1:4" ht="15.5" x14ac:dyDescent="0.25">
      <c r="A34" s="9" t="s">
        <v>2117</v>
      </c>
      <c r="B34" s="14" t="s">
        <v>2046</v>
      </c>
      <c r="C34" s="8">
        <v>90</v>
      </c>
      <c r="D34" s="14" t="s">
        <v>2062</v>
      </c>
    </row>
    <row r="35" spans="1:4" ht="15.5" x14ac:dyDescent="0.25">
      <c r="A35" s="9" t="s">
        <v>2118</v>
      </c>
      <c r="B35" s="14" t="s">
        <v>2049</v>
      </c>
      <c r="C35" s="8">
        <v>2</v>
      </c>
      <c r="D35" s="14" t="s">
        <v>2063</v>
      </c>
    </row>
    <row r="36" spans="1:4" ht="15.5" x14ac:dyDescent="0.25">
      <c r="A36" s="9" t="s">
        <v>2119</v>
      </c>
      <c r="B36" s="14" t="s">
        <v>2052</v>
      </c>
      <c r="C36" s="8">
        <v>13</v>
      </c>
      <c r="D36" s="14" t="s">
        <v>2064</v>
      </c>
    </row>
    <row r="37" spans="1:4" ht="16" x14ac:dyDescent="0.35">
      <c r="A37" s="9" t="s">
        <v>2120</v>
      </c>
      <c r="B37" s="15" t="s">
        <v>182</v>
      </c>
      <c r="C37" s="8">
        <v>8</v>
      </c>
      <c r="D37" s="25" t="s">
        <v>2077</v>
      </c>
    </row>
    <row r="38" spans="1:4" ht="15.5" x14ac:dyDescent="0.25">
      <c r="A38" s="9" t="s">
        <v>2121</v>
      </c>
      <c r="B38" s="15" t="s">
        <v>1518</v>
      </c>
      <c r="C38" s="8">
        <v>15</v>
      </c>
      <c r="D38" s="15" t="s">
        <v>2067</v>
      </c>
    </row>
    <row r="39" spans="1:4" ht="15.5" x14ac:dyDescent="0.25">
      <c r="A39" s="9" t="s">
        <v>2122</v>
      </c>
      <c r="B39" s="15" t="s">
        <v>1548</v>
      </c>
      <c r="C39" s="8">
        <v>3</v>
      </c>
      <c r="D39" s="15" t="s">
        <v>2068</v>
      </c>
    </row>
    <row r="40" spans="1:4" ht="15.5" x14ac:dyDescent="0.25">
      <c r="A40" s="9" t="s">
        <v>2123</v>
      </c>
      <c r="B40" s="15" t="s">
        <v>2017</v>
      </c>
      <c r="C40" s="8">
        <v>250</v>
      </c>
      <c r="D40" s="15" t="s">
        <v>2071</v>
      </c>
    </row>
    <row r="41" spans="1:4" ht="15.5" x14ac:dyDescent="0.25">
      <c r="A41" s="1"/>
      <c r="B41" s="7"/>
      <c r="C41" s="8"/>
      <c r="D41" s="10"/>
    </row>
    <row r="42" spans="1:4" ht="15.5" x14ac:dyDescent="0.25">
      <c r="A42" s="1"/>
      <c r="B42" s="7"/>
      <c r="C42" s="8"/>
      <c r="D42" s="10"/>
    </row>
    <row r="43" spans="1:4" ht="15.5" x14ac:dyDescent="0.25">
      <c r="A43" s="1"/>
      <c r="B43" s="7"/>
      <c r="C43" s="8"/>
      <c r="D43" s="10"/>
    </row>
    <row r="44" spans="1:4" ht="15.5" x14ac:dyDescent="0.25">
      <c r="A44" s="1"/>
      <c r="B44" s="7"/>
      <c r="C44" s="8"/>
      <c r="D44" s="10"/>
    </row>
    <row r="45" spans="1:4" ht="15.5" x14ac:dyDescent="0.25">
      <c r="A45" s="1"/>
      <c r="B45" s="7"/>
      <c r="C45" s="8"/>
      <c r="D45" s="10"/>
    </row>
    <row r="46" spans="1:4" ht="15.5" x14ac:dyDescent="0.25">
      <c r="A46" s="1"/>
      <c r="B46" s="7"/>
      <c r="C46" s="8"/>
      <c r="D46" s="10"/>
    </row>
    <row r="47" spans="1:4" ht="15.5" x14ac:dyDescent="0.25">
      <c r="A47" s="1"/>
      <c r="B47" s="7"/>
      <c r="C47" s="8"/>
      <c r="D47" s="10"/>
    </row>
    <row r="48" spans="1:4" ht="15.5" x14ac:dyDescent="0.25">
      <c r="A48" s="1"/>
      <c r="B48" s="7"/>
      <c r="C48" s="8"/>
      <c r="D48" s="10"/>
    </row>
    <row r="49" spans="1:4" ht="15.5" x14ac:dyDescent="0.25">
      <c r="A49" s="1"/>
      <c r="B49" s="7"/>
      <c r="C49" s="8"/>
      <c r="D49" s="10"/>
    </row>
    <row r="50" spans="1:4" ht="15.5" x14ac:dyDescent="0.25">
      <c r="A50" s="1"/>
      <c r="B50" s="7"/>
      <c r="C50" s="8"/>
      <c r="D50" s="10"/>
    </row>
    <row r="51" spans="1:4" ht="15.5" x14ac:dyDescent="0.25">
      <c r="A51" s="1"/>
      <c r="B51" s="7"/>
      <c r="C51" s="8"/>
      <c r="D51" s="10"/>
    </row>
    <row r="52" spans="1:4" ht="15.5" x14ac:dyDescent="0.25">
      <c r="A52" s="1"/>
      <c r="B52" s="7"/>
      <c r="C52" s="8"/>
      <c r="D52" s="10"/>
    </row>
    <row r="53" spans="1:4" ht="15.5" x14ac:dyDescent="0.25">
      <c r="A53" s="1"/>
      <c r="B53" s="7"/>
      <c r="C53" s="8"/>
      <c r="D53" s="10"/>
    </row>
    <row r="54" spans="1:4" ht="15.5" x14ac:dyDescent="0.25">
      <c r="A54" s="1"/>
      <c r="B54" s="7"/>
      <c r="C54" s="8"/>
      <c r="D54" s="10"/>
    </row>
    <row r="55" spans="1:4" ht="15.5" x14ac:dyDescent="0.25">
      <c r="A55" s="1"/>
      <c r="B55" s="7"/>
      <c r="C55" s="8"/>
      <c r="D55" s="10"/>
    </row>
    <row r="56" spans="1:4" ht="15.5" x14ac:dyDescent="0.25">
      <c r="A56" s="1"/>
      <c r="B56" s="7"/>
      <c r="C56" s="8"/>
      <c r="D56" s="10"/>
    </row>
    <row r="57" spans="1:4" ht="15.5" x14ac:dyDescent="0.25">
      <c r="A57" s="1"/>
      <c r="B57" s="7"/>
      <c r="C57" s="8"/>
      <c r="D57" s="10"/>
    </row>
    <row r="58" spans="1:4" ht="15.5" x14ac:dyDescent="0.25">
      <c r="A58" s="1"/>
      <c r="B58" s="7"/>
      <c r="C58" s="8"/>
      <c r="D58" s="10"/>
    </row>
    <row r="59" spans="1:4" ht="15.5" x14ac:dyDescent="0.25">
      <c r="A59" s="1"/>
      <c r="B59" s="7"/>
      <c r="C59" s="8"/>
      <c r="D59" s="10"/>
    </row>
    <row r="60" spans="1:4" ht="15.5" x14ac:dyDescent="0.25">
      <c r="A60" s="1"/>
      <c r="B60" s="7"/>
      <c r="C60" s="8"/>
      <c r="D60" s="10"/>
    </row>
    <row r="61" spans="1:4" ht="15.5" x14ac:dyDescent="0.25">
      <c r="A61" s="1"/>
      <c r="B61" s="7"/>
      <c r="C61" s="8"/>
      <c r="D61" s="10"/>
    </row>
    <row r="62" spans="1:4" ht="15.5" x14ac:dyDescent="0.25">
      <c r="A62" s="1"/>
      <c r="B62" s="7"/>
      <c r="C62" s="8"/>
      <c r="D62" s="10"/>
    </row>
    <row r="63" spans="1:4" ht="15.5" x14ac:dyDescent="0.25">
      <c r="A63" s="1"/>
      <c r="B63" s="7"/>
      <c r="C63" s="8"/>
      <c r="D63" s="10"/>
    </row>
    <row r="64" spans="1:4" ht="15.5" x14ac:dyDescent="0.25">
      <c r="A64" s="1"/>
      <c r="B64" s="7"/>
      <c r="C64" s="8"/>
      <c r="D64" s="10"/>
    </row>
    <row r="65" spans="1:4" ht="15.5" x14ac:dyDescent="0.25">
      <c r="A65" s="1"/>
      <c r="B65" s="7"/>
      <c r="C65" s="8"/>
      <c r="D65" s="10"/>
    </row>
    <row r="66" spans="1:4" ht="15.5" x14ac:dyDescent="0.25">
      <c r="A66" s="1"/>
      <c r="B66" s="7"/>
      <c r="C66" s="8"/>
      <c r="D66" s="10"/>
    </row>
    <row r="67" spans="1:4" ht="15.5" x14ac:dyDescent="0.25">
      <c r="A67" s="1"/>
      <c r="B67" s="7"/>
      <c r="C67" s="8"/>
      <c r="D67" s="10"/>
    </row>
    <row r="68" spans="1:4" ht="15.5" x14ac:dyDescent="0.25">
      <c r="A68" s="1"/>
      <c r="B68" s="7"/>
      <c r="C68" s="8"/>
      <c r="D68" s="10"/>
    </row>
    <row r="69" spans="1:4" ht="15.5" x14ac:dyDescent="0.25">
      <c r="A69" s="1"/>
      <c r="B69" s="7"/>
      <c r="C69" s="8"/>
      <c r="D69" s="10"/>
    </row>
    <row r="70" spans="1:4" ht="15.5" x14ac:dyDescent="0.25">
      <c r="A70" s="1"/>
      <c r="B70" s="7"/>
      <c r="C70" s="8"/>
      <c r="D70" s="10"/>
    </row>
    <row r="71" spans="1:4" ht="15.5" x14ac:dyDescent="0.25">
      <c r="A71" s="1"/>
      <c r="B71" s="7"/>
      <c r="C71" s="8"/>
      <c r="D71" s="10"/>
    </row>
    <row r="72" spans="1:4" ht="15.5" x14ac:dyDescent="0.25">
      <c r="A72" s="1"/>
      <c r="B72" s="7"/>
      <c r="C72" s="8"/>
      <c r="D72" s="10"/>
    </row>
    <row r="73" spans="1:4" ht="15.5" x14ac:dyDescent="0.25">
      <c r="A73" s="1"/>
      <c r="B73" s="7"/>
      <c r="C73" s="8"/>
      <c r="D73" s="10"/>
    </row>
    <row r="74" spans="1:4" ht="15.5" x14ac:dyDescent="0.25">
      <c r="A74" s="1"/>
      <c r="B74" s="7"/>
      <c r="C74" s="8"/>
      <c r="D74" s="10"/>
    </row>
    <row r="75" spans="1:4" ht="15.5" x14ac:dyDescent="0.25">
      <c r="A75" s="1"/>
      <c r="B75" s="7"/>
      <c r="C75" s="8"/>
      <c r="D75" s="10"/>
    </row>
    <row r="76" spans="1:4" ht="15.5" x14ac:dyDescent="0.25">
      <c r="A76" s="1"/>
      <c r="B76" s="7"/>
      <c r="C76" s="8"/>
      <c r="D76" s="10"/>
    </row>
    <row r="77" spans="1:4" ht="15.5" x14ac:dyDescent="0.25">
      <c r="A77" s="1"/>
      <c r="B77" s="7"/>
      <c r="C77" s="8"/>
      <c r="D77" s="10"/>
    </row>
    <row r="78" spans="1:4" ht="15.5" x14ac:dyDescent="0.25">
      <c r="A78" s="1"/>
      <c r="B78" s="7"/>
      <c r="C78" s="8"/>
      <c r="D78" s="10"/>
    </row>
    <row r="79" spans="1:4" ht="15.5" x14ac:dyDescent="0.25">
      <c r="A79" s="1"/>
      <c r="B79" s="7"/>
      <c r="C79" s="8"/>
      <c r="D79" s="10"/>
    </row>
    <row r="80" spans="1:4" ht="15.5" x14ac:dyDescent="0.25">
      <c r="A80" s="1"/>
      <c r="B80" s="7"/>
      <c r="C80" s="8"/>
      <c r="D80" s="10"/>
    </row>
    <row r="81" spans="1:4" ht="15.5" x14ac:dyDescent="0.25">
      <c r="A81" s="1"/>
      <c r="B81" s="7"/>
      <c r="C81" s="8"/>
      <c r="D81" s="10"/>
    </row>
    <row r="82" spans="1:4" ht="15.5" x14ac:dyDescent="0.25">
      <c r="A82" s="1"/>
      <c r="B82" s="7"/>
      <c r="C82" s="8"/>
      <c r="D82" s="10"/>
    </row>
    <row r="83" spans="1:4" ht="15.5" x14ac:dyDescent="0.25">
      <c r="A83" s="1"/>
      <c r="B83" s="7"/>
      <c r="C83" s="8"/>
    </row>
    <row r="84" spans="1:4" ht="15.5" x14ac:dyDescent="0.25">
      <c r="A84" s="1"/>
      <c r="B84" s="7"/>
      <c r="C84" s="8"/>
    </row>
    <row r="85" spans="1:4" ht="15.5" x14ac:dyDescent="0.25">
      <c r="A85" s="1"/>
      <c r="B85" s="7"/>
      <c r="C85" s="8"/>
    </row>
    <row r="86" spans="1:4" ht="15.5" x14ac:dyDescent="0.25">
      <c r="A86" s="1"/>
      <c r="B86" s="7"/>
      <c r="C86" s="8"/>
    </row>
    <row r="87" spans="1:4" ht="15.5" x14ac:dyDescent="0.25">
      <c r="A87" s="1"/>
      <c r="B87" s="7"/>
      <c r="C87" s="8"/>
    </row>
    <row r="88" spans="1:4" ht="15.5" x14ac:dyDescent="0.25">
      <c r="A88" s="1"/>
      <c r="B88" s="7"/>
      <c r="C88" s="8"/>
    </row>
    <row r="90" spans="1:4" x14ac:dyDescent="0.25">
      <c r="D90" s="10"/>
    </row>
    <row r="91" spans="1:4" x14ac:dyDescent="0.25">
      <c r="D91" s="10"/>
    </row>
    <row r="92" spans="1:4" x14ac:dyDescent="0.25">
      <c r="D92" s="10"/>
    </row>
    <row r="93" spans="1:4" x14ac:dyDescent="0.25">
      <c r="D93" s="10"/>
    </row>
    <row r="94" spans="1:4" x14ac:dyDescent="0.25">
      <c r="D94" s="10"/>
    </row>
    <row r="95" spans="1:4" x14ac:dyDescent="0.25">
      <c r="D95" s="10"/>
    </row>
    <row r="102" spans="4:4" x14ac:dyDescent="0.25">
      <c r="D102" s="10"/>
    </row>
    <row r="103" spans="4:4" x14ac:dyDescent="0.25">
      <c r="D103" s="10"/>
    </row>
    <row r="104" spans="4:4" x14ac:dyDescent="0.25">
      <c r="D104" s="10"/>
    </row>
    <row r="105" spans="4:4" x14ac:dyDescent="0.25">
      <c r="D105" s="10"/>
    </row>
    <row r="106" spans="4:4" x14ac:dyDescent="0.25">
      <c r="D106" s="10"/>
    </row>
    <row r="107" spans="4:4" x14ac:dyDescent="0.25">
      <c r="D107" s="10"/>
    </row>
    <row r="108" spans="4:4" x14ac:dyDescent="0.25">
      <c r="D108" s="10"/>
    </row>
    <row r="109" spans="4:4" x14ac:dyDescent="0.25">
      <c r="D109" s="10"/>
    </row>
    <row r="110" spans="4:4" x14ac:dyDescent="0.25">
      <c r="D110" s="10"/>
    </row>
    <row r="111" spans="4:4" x14ac:dyDescent="0.25">
      <c r="D111" s="10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51D5-296E-BA47-B9CE-A893C95EDDAC}">
  <dimension ref="A1:L39"/>
  <sheetViews>
    <sheetView tabSelected="1" zoomScale="145" zoomScaleNormal="145" zoomScaleSheetLayoutView="100" workbookViewId="0">
      <selection activeCell="K10" sqref="K10:K11"/>
    </sheetView>
  </sheetViews>
  <sheetFormatPr defaultColWidth="11" defaultRowHeight="14" x14ac:dyDescent="0.25"/>
  <cols>
    <col min="1" max="1" width="5.36328125" style="12" bestFit="1" customWidth="1"/>
    <col min="2" max="2" width="8.1796875" style="12" customWidth="1"/>
    <col min="3" max="3" width="7" style="12" customWidth="1"/>
    <col min="4" max="4" width="12" style="12" bestFit="1" customWidth="1"/>
    <col min="5" max="5" width="10.36328125" style="12" bestFit="1" customWidth="1"/>
    <col min="6" max="6" width="7.453125" style="12" bestFit="1" customWidth="1"/>
    <col min="7" max="7" width="9.81640625" style="12" bestFit="1" customWidth="1"/>
    <col min="8" max="9" width="11" style="12"/>
    <col min="10" max="11" width="11" style="6"/>
  </cols>
  <sheetData>
    <row r="1" spans="1:12" x14ac:dyDescent="0.25">
      <c r="A1" s="12" t="s">
        <v>0</v>
      </c>
      <c r="B1" s="12" t="s">
        <v>15</v>
      </c>
      <c r="C1" s="12" t="s">
        <v>2109</v>
      </c>
      <c r="D1" s="12" t="s">
        <v>6</v>
      </c>
      <c r="E1" s="12" t="s">
        <v>7</v>
      </c>
      <c r="F1" s="12" t="s">
        <v>9</v>
      </c>
      <c r="G1" s="12" t="s">
        <v>3</v>
      </c>
      <c r="H1" s="12" t="s">
        <v>355</v>
      </c>
      <c r="I1" s="12" t="s">
        <v>356</v>
      </c>
    </row>
    <row r="2" spans="1:12" x14ac:dyDescent="0.25">
      <c r="A2" s="12" t="s">
        <v>357</v>
      </c>
      <c r="B2" s="12" t="s">
        <v>1944</v>
      </c>
      <c r="C2" s="12">
        <v>-7</v>
      </c>
      <c r="D2" s="12" t="s">
        <v>5</v>
      </c>
      <c r="E2" s="12" t="s">
        <v>8</v>
      </c>
      <c r="G2" s="12" t="s">
        <v>354</v>
      </c>
      <c r="H2" s="12">
        <v>-5.6000000000000005</v>
      </c>
      <c r="I2" s="12">
        <v>-8.4</v>
      </c>
    </row>
    <row r="3" spans="1:12" s="44" customFormat="1" x14ac:dyDescent="0.25">
      <c r="A3" s="43" t="s">
        <v>358</v>
      </c>
      <c r="B3" s="43" t="s">
        <v>1298</v>
      </c>
      <c r="C3" s="43">
        <v>-30.400000000000002</v>
      </c>
      <c r="D3" s="43" t="s">
        <v>5</v>
      </c>
      <c r="E3" s="43" t="s">
        <v>8</v>
      </c>
      <c r="F3" s="43"/>
      <c r="G3" s="43" t="s">
        <v>354</v>
      </c>
      <c r="H3" s="12">
        <v>-24.320000000000004</v>
      </c>
      <c r="I3" s="12">
        <v>-36.480000000000004</v>
      </c>
      <c r="J3" s="6"/>
      <c r="K3" s="6"/>
    </row>
    <row r="4" spans="1:12" x14ac:dyDescent="0.25">
      <c r="A4" s="12" t="s">
        <v>359</v>
      </c>
      <c r="B4" s="12" t="s">
        <v>1884</v>
      </c>
      <c r="C4" s="12">
        <v>-9.4</v>
      </c>
      <c r="D4" s="12" t="s">
        <v>5</v>
      </c>
      <c r="E4" s="12" t="s">
        <v>8</v>
      </c>
      <c r="G4" s="12" t="s">
        <v>354</v>
      </c>
      <c r="H4" s="12">
        <v>-7.5200000000000005</v>
      </c>
      <c r="I4" s="12">
        <v>-11.28</v>
      </c>
    </row>
    <row r="5" spans="1:12" s="44" customFormat="1" x14ac:dyDescent="0.25">
      <c r="A5" s="43" t="s">
        <v>360</v>
      </c>
      <c r="B5" s="43" t="s">
        <v>1279</v>
      </c>
      <c r="C5" s="43">
        <v>-21.200000000000003</v>
      </c>
      <c r="D5" s="43" t="s">
        <v>5</v>
      </c>
      <c r="E5" s="43" t="s">
        <v>8</v>
      </c>
      <c r="F5" s="43"/>
      <c r="G5" s="43" t="s">
        <v>354</v>
      </c>
      <c r="H5" s="12">
        <v>-16.960000000000004</v>
      </c>
      <c r="I5" s="12">
        <v>-25.44</v>
      </c>
      <c r="J5" s="6"/>
      <c r="K5" s="6"/>
    </row>
    <row r="6" spans="1:12" x14ac:dyDescent="0.25">
      <c r="A6" s="12" t="s">
        <v>361</v>
      </c>
      <c r="B6" s="12" t="s">
        <v>1281</v>
      </c>
      <c r="C6" s="12">
        <v>-8.4</v>
      </c>
      <c r="D6" s="12" t="s">
        <v>5</v>
      </c>
      <c r="E6" s="12" t="s">
        <v>8</v>
      </c>
      <c r="G6" s="12" t="s">
        <v>354</v>
      </c>
      <c r="H6" s="12">
        <v>-6.7200000000000006</v>
      </c>
      <c r="I6" s="12">
        <v>-10.08</v>
      </c>
    </row>
    <row r="7" spans="1:12" x14ac:dyDescent="0.25">
      <c r="A7" s="12" t="s">
        <v>362</v>
      </c>
      <c r="B7" s="12" t="s">
        <v>1670</v>
      </c>
      <c r="C7" s="12">
        <v>-8.6</v>
      </c>
      <c r="D7" s="12" t="s">
        <v>5</v>
      </c>
      <c r="E7" s="12" t="s">
        <v>8</v>
      </c>
      <c r="G7" s="12" t="s">
        <v>354</v>
      </c>
      <c r="H7" s="12">
        <v>-6.88</v>
      </c>
      <c r="I7" s="12">
        <v>-10.319999999999999</v>
      </c>
    </row>
    <row r="8" spans="1:12" x14ac:dyDescent="0.25">
      <c r="A8" s="12" t="s">
        <v>363</v>
      </c>
      <c r="B8" s="12" t="s">
        <v>1577</v>
      </c>
      <c r="C8" s="12">
        <v>-796</v>
      </c>
      <c r="D8" s="12" t="s">
        <v>5</v>
      </c>
      <c r="E8" s="12" t="s">
        <v>8</v>
      </c>
      <c r="G8" s="12" t="s">
        <v>354</v>
      </c>
      <c r="H8" s="12">
        <v>-477.59999999999997</v>
      </c>
      <c r="I8" s="12">
        <v>-955.19999999999993</v>
      </c>
    </row>
    <row r="9" spans="1:12" x14ac:dyDescent="0.25">
      <c r="A9" s="12" t="s">
        <v>364</v>
      </c>
      <c r="B9" s="12" t="s">
        <v>1659</v>
      </c>
      <c r="C9" s="12">
        <v>-3.8000000000000003</v>
      </c>
      <c r="D9" s="12" t="s">
        <v>5</v>
      </c>
      <c r="E9" s="12" t="s">
        <v>8</v>
      </c>
      <c r="G9" s="12" t="s">
        <v>354</v>
      </c>
      <c r="H9" s="12">
        <v>-3.0400000000000005</v>
      </c>
      <c r="I9" s="12">
        <v>-4.5600000000000005</v>
      </c>
    </row>
    <row r="10" spans="1:12" x14ac:dyDescent="0.25">
      <c r="A10" s="12" t="s">
        <v>365</v>
      </c>
      <c r="B10" s="12" t="s">
        <v>1660</v>
      </c>
      <c r="C10" s="12">
        <v>-3.8000000000000003</v>
      </c>
      <c r="D10" s="12" t="s">
        <v>5</v>
      </c>
      <c r="E10" s="12" t="s">
        <v>8</v>
      </c>
      <c r="G10" s="12" t="s">
        <v>354</v>
      </c>
      <c r="H10" s="12">
        <v>-3.0400000000000005</v>
      </c>
      <c r="I10" s="12">
        <v>-4.5600000000000005</v>
      </c>
    </row>
    <row r="11" spans="1:12" x14ac:dyDescent="0.25">
      <c r="A11" s="12" t="s">
        <v>366</v>
      </c>
      <c r="B11" s="12" t="s">
        <v>1663</v>
      </c>
      <c r="C11" s="12">
        <v>-4</v>
      </c>
      <c r="D11" s="12" t="s">
        <v>5</v>
      </c>
      <c r="E11" s="12" t="s">
        <v>8</v>
      </c>
      <c r="G11" s="12" t="s">
        <v>354</v>
      </c>
      <c r="H11" s="12">
        <v>-3.2</v>
      </c>
      <c r="I11" s="12">
        <v>-4.8</v>
      </c>
    </row>
    <row r="12" spans="1:12" ht="15" x14ac:dyDescent="0.25">
      <c r="A12" s="12" t="s">
        <v>367</v>
      </c>
      <c r="B12" s="12" t="s">
        <v>1664</v>
      </c>
      <c r="C12" s="12">
        <v>-4</v>
      </c>
      <c r="D12" s="12" t="s">
        <v>5</v>
      </c>
      <c r="E12" s="12" t="s">
        <v>8</v>
      </c>
      <c r="G12" s="12" t="s">
        <v>354</v>
      </c>
      <c r="H12" s="12">
        <v>-3.2</v>
      </c>
      <c r="I12" s="12">
        <v>-4.8</v>
      </c>
      <c r="L12" s="2"/>
    </row>
    <row r="13" spans="1:12" ht="15.5" x14ac:dyDescent="0.25">
      <c r="A13" s="12" t="s">
        <v>368</v>
      </c>
      <c r="B13" s="13" t="s">
        <v>1665</v>
      </c>
      <c r="C13" s="12">
        <v>-3.8000000000000003</v>
      </c>
      <c r="D13" s="12" t="s">
        <v>5</v>
      </c>
      <c r="E13" s="12" t="s">
        <v>8</v>
      </c>
      <c r="F13" s="13"/>
      <c r="G13" s="12" t="s">
        <v>354</v>
      </c>
      <c r="H13" s="12">
        <v>-3.0400000000000005</v>
      </c>
      <c r="I13" s="12">
        <v>-4.5600000000000005</v>
      </c>
      <c r="L13" s="2"/>
    </row>
    <row r="14" spans="1:12" x14ac:dyDescent="0.25">
      <c r="A14" s="12" t="s">
        <v>369</v>
      </c>
      <c r="B14" s="12" t="s">
        <v>1666</v>
      </c>
      <c r="C14" s="12">
        <v>-3.4000000000000004</v>
      </c>
      <c r="D14" s="12" t="s">
        <v>5</v>
      </c>
      <c r="E14" s="12" t="s">
        <v>8</v>
      </c>
      <c r="G14" s="12" t="s">
        <v>354</v>
      </c>
      <c r="H14" s="12">
        <v>-2.7200000000000006</v>
      </c>
      <c r="I14" s="12">
        <v>-4.08</v>
      </c>
    </row>
    <row r="15" spans="1:12" x14ac:dyDescent="0.25">
      <c r="A15" s="12" t="s">
        <v>370</v>
      </c>
      <c r="B15" s="12" t="s">
        <v>1668</v>
      </c>
      <c r="C15" s="12">
        <v>-704</v>
      </c>
      <c r="D15" s="12" t="s">
        <v>5</v>
      </c>
      <c r="E15" s="12" t="s">
        <v>8</v>
      </c>
      <c r="G15" s="12" t="s">
        <v>354</v>
      </c>
      <c r="H15" s="12">
        <v>-422.4</v>
      </c>
      <c r="I15" s="12">
        <v>-844.8</v>
      </c>
    </row>
    <row r="16" spans="1:12" x14ac:dyDescent="0.25">
      <c r="A16" s="12" t="s">
        <v>371</v>
      </c>
      <c r="B16" s="12" t="s">
        <v>1672</v>
      </c>
      <c r="C16" s="12">
        <v>-8.6</v>
      </c>
      <c r="D16" s="12" t="s">
        <v>5</v>
      </c>
      <c r="E16" s="12" t="s">
        <v>8</v>
      </c>
      <c r="G16" s="12" t="s">
        <v>354</v>
      </c>
      <c r="H16" s="12">
        <v>-6.88</v>
      </c>
      <c r="I16" s="12">
        <v>-10.319999999999999</v>
      </c>
    </row>
    <row r="17" spans="1:9" x14ac:dyDescent="0.25">
      <c r="A17" s="12" t="s">
        <v>372</v>
      </c>
      <c r="B17" s="12" t="s">
        <v>1951</v>
      </c>
      <c r="C17" s="12">
        <v>-36.4</v>
      </c>
      <c r="D17" s="12" t="s">
        <v>5</v>
      </c>
      <c r="E17" s="12" t="s">
        <v>8</v>
      </c>
      <c r="G17" s="12" t="s">
        <v>354</v>
      </c>
      <c r="H17" s="12">
        <v>-29.12</v>
      </c>
      <c r="I17" s="12">
        <v>-43.68</v>
      </c>
    </row>
    <row r="18" spans="1:9" x14ac:dyDescent="0.25">
      <c r="A18" s="12" t="s">
        <v>373</v>
      </c>
      <c r="B18" s="12" t="s">
        <v>1679</v>
      </c>
      <c r="C18" s="12">
        <v>-3.6</v>
      </c>
      <c r="D18" s="12" t="s">
        <v>5</v>
      </c>
      <c r="E18" s="12" t="s">
        <v>8</v>
      </c>
      <c r="G18" s="12" t="s">
        <v>354</v>
      </c>
      <c r="H18" s="12">
        <v>-2.8800000000000003</v>
      </c>
      <c r="I18" s="12">
        <v>-4.32</v>
      </c>
    </row>
    <row r="19" spans="1:9" x14ac:dyDescent="0.25">
      <c r="A19" s="12" t="s">
        <v>374</v>
      </c>
      <c r="B19" s="12" t="s">
        <v>1680</v>
      </c>
      <c r="C19" s="12">
        <v>-3.4000000000000004</v>
      </c>
      <c r="D19" s="12" t="s">
        <v>5</v>
      </c>
      <c r="E19" s="12" t="s">
        <v>8</v>
      </c>
      <c r="G19" s="12" t="s">
        <v>354</v>
      </c>
      <c r="H19" s="12">
        <v>-2.7200000000000006</v>
      </c>
      <c r="I19" s="12">
        <v>-4.08</v>
      </c>
    </row>
    <row r="20" spans="1:9" x14ac:dyDescent="0.25">
      <c r="A20" s="12" t="s">
        <v>375</v>
      </c>
      <c r="B20" s="12" t="s">
        <v>1683</v>
      </c>
      <c r="C20" s="12">
        <v>-4</v>
      </c>
      <c r="D20" s="12" t="s">
        <v>5</v>
      </c>
      <c r="E20" s="12" t="s">
        <v>8</v>
      </c>
      <c r="G20" s="12" t="s">
        <v>354</v>
      </c>
      <c r="H20" s="12">
        <v>-3.2</v>
      </c>
      <c r="I20" s="12">
        <v>-4.8</v>
      </c>
    </row>
    <row r="21" spans="1:9" x14ac:dyDescent="0.25">
      <c r="A21" s="12" t="s">
        <v>376</v>
      </c>
      <c r="B21" s="12" t="s">
        <v>1685</v>
      </c>
      <c r="C21" s="12">
        <v>-3.2</v>
      </c>
      <c r="D21" s="12" t="s">
        <v>5</v>
      </c>
      <c r="E21" s="12" t="s">
        <v>8</v>
      </c>
      <c r="G21" s="12" t="s">
        <v>354</v>
      </c>
      <c r="H21" s="12">
        <v>-2.5600000000000005</v>
      </c>
      <c r="I21" s="12">
        <v>-3.84</v>
      </c>
    </row>
    <row r="22" spans="1:9" x14ac:dyDescent="0.25">
      <c r="A22" s="12" t="s">
        <v>377</v>
      </c>
      <c r="B22" s="12" t="s">
        <v>1687</v>
      </c>
      <c r="C22" s="12">
        <v>-4</v>
      </c>
      <c r="D22" s="12" t="s">
        <v>5</v>
      </c>
      <c r="E22" s="12" t="s">
        <v>8</v>
      </c>
      <c r="G22" s="12" t="s">
        <v>354</v>
      </c>
      <c r="H22" s="12">
        <v>-3.2</v>
      </c>
      <c r="I22" s="12">
        <v>-4.8</v>
      </c>
    </row>
    <row r="23" spans="1:9" x14ac:dyDescent="0.25">
      <c r="A23" s="12" t="s">
        <v>378</v>
      </c>
      <c r="B23" s="12" t="s">
        <v>1591</v>
      </c>
      <c r="C23" s="12">
        <v>-11.4</v>
      </c>
      <c r="D23" s="12" t="s">
        <v>5</v>
      </c>
      <c r="E23" s="12" t="s">
        <v>8</v>
      </c>
      <c r="G23" s="12" t="s">
        <v>354</v>
      </c>
      <c r="H23" s="12">
        <v>-9.120000000000001</v>
      </c>
      <c r="I23" s="12">
        <v>-13.68</v>
      </c>
    </row>
    <row r="24" spans="1:9" x14ac:dyDescent="0.25">
      <c r="A24" s="12" t="s">
        <v>379</v>
      </c>
      <c r="B24" s="12" t="s">
        <v>1350</v>
      </c>
      <c r="C24" s="12">
        <v>-20.400000000000002</v>
      </c>
      <c r="D24" s="12" t="s">
        <v>5</v>
      </c>
      <c r="E24" s="12" t="s">
        <v>8</v>
      </c>
      <c r="G24" s="12" t="s">
        <v>354</v>
      </c>
      <c r="H24" s="12">
        <v>-16.320000000000004</v>
      </c>
      <c r="I24" s="12">
        <v>-24.48</v>
      </c>
    </row>
    <row r="25" spans="1:9" x14ac:dyDescent="0.25">
      <c r="A25" s="12" t="s">
        <v>380</v>
      </c>
      <c r="B25" s="12" t="s">
        <v>1607</v>
      </c>
      <c r="C25" s="12">
        <v>-0.8</v>
      </c>
      <c r="D25" s="12" t="s">
        <v>5</v>
      </c>
      <c r="E25" s="12" t="s">
        <v>8</v>
      </c>
      <c r="G25" s="12" t="s">
        <v>354</v>
      </c>
      <c r="H25" s="12">
        <v>-0.64000000000000012</v>
      </c>
      <c r="I25" s="12">
        <v>-0.96</v>
      </c>
    </row>
    <row r="26" spans="1:9" x14ac:dyDescent="0.25">
      <c r="A26" s="12" t="s">
        <v>381</v>
      </c>
      <c r="B26" s="12" t="s">
        <v>1971</v>
      </c>
      <c r="C26" s="12">
        <v>-1.2000000000000002</v>
      </c>
      <c r="D26" s="12" t="s">
        <v>5</v>
      </c>
      <c r="E26" s="12" t="s">
        <v>8</v>
      </c>
      <c r="G26" s="12" t="s">
        <v>354</v>
      </c>
      <c r="H26" s="12">
        <v>-0.96000000000000019</v>
      </c>
      <c r="I26" s="12">
        <v>-1.4400000000000002</v>
      </c>
    </row>
    <row r="27" spans="1:9" x14ac:dyDescent="0.25">
      <c r="A27" s="12" t="s">
        <v>382</v>
      </c>
      <c r="B27" s="12" t="s">
        <v>1344</v>
      </c>
      <c r="C27" s="12">
        <v>-27.8</v>
      </c>
      <c r="D27" s="12" t="s">
        <v>5</v>
      </c>
      <c r="E27" s="12" t="s">
        <v>8</v>
      </c>
      <c r="G27" s="12" t="s">
        <v>354</v>
      </c>
      <c r="H27" s="12">
        <v>-22.240000000000002</v>
      </c>
      <c r="I27" s="12">
        <v>-33.36</v>
      </c>
    </row>
    <row r="28" spans="1:9" x14ac:dyDescent="0.25">
      <c r="A28" s="12" t="s">
        <v>383</v>
      </c>
      <c r="B28" s="12" t="s">
        <v>1581</v>
      </c>
      <c r="C28" s="12">
        <v>-3.4000000000000004</v>
      </c>
      <c r="D28" s="12" t="s">
        <v>5</v>
      </c>
      <c r="E28" s="12" t="s">
        <v>8</v>
      </c>
      <c r="G28" s="12" t="s">
        <v>354</v>
      </c>
      <c r="H28" s="12">
        <v>-2.7200000000000006</v>
      </c>
      <c r="I28" s="12">
        <v>-4.08</v>
      </c>
    </row>
    <row r="29" spans="1:9" x14ac:dyDescent="0.25">
      <c r="A29" s="12" t="s">
        <v>384</v>
      </c>
      <c r="B29" s="12" t="s">
        <v>1569</v>
      </c>
      <c r="C29" s="12">
        <v>-4</v>
      </c>
      <c r="D29" s="12" t="s">
        <v>5</v>
      </c>
      <c r="E29" s="12" t="s">
        <v>8</v>
      </c>
      <c r="G29" s="12" t="s">
        <v>354</v>
      </c>
      <c r="H29" s="12">
        <v>-3.2</v>
      </c>
      <c r="I29" s="12">
        <v>-4.8</v>
      </c>
    </row>
    <row r="30" spans="1:9" x14ac:dyDescent="0.25">
      <c r="A30" s="12" t="s">
        <v>385</v>
      </c>
      <c r="B30" s="12" t="s">
        <v>1516</v>
      </c>
      <c r="C30" s="12">
        <v>-12.4</v>
      </c>
      <c r="D30" s="12" t="s">
        <v>5</v>
      </c>
      <c r="E30" s="12" t="s">
        <v>8</v>
      </c>
      <c r="G30" s="12" t="s">
        <v>354</v>
      </c>
      <c r="H30" s="12">
        <v>-9.9200000000000017</v>
      </c>
      <c r="I30" s="12">
        <v>-14.879999999999999</v>
      </c>
    </row>
    <row r="31" spans="1:9" x14ac:dyDescent="0.25">
      <c r="A31" s="12" t="s">
        <v>386</v>
      </c>
      <c r="B31" s="12" t="s">
        <v>1452</v>
      </c>
      <c r="C31" s="12">
        <v>-126.60000000000001</v>
      </c>
      <c r="D31" s="12" t="s">
        <v>5</v>
      </c>
      <c r="E31" s="12" t="s">
        <v>8</v>
      </c>
      <c r="G31" s="12" t="s">
        <v>354</v>
      </c>
      <c r="H31" s="12">
        <v>-101.28000000000002</v>
      </c>
      <c r="I31" s="12">
        <v>-151.92000000000002</v>
      </c>
    </row>
    <row r="32" spans="1:9" x14ac:dyDescent="0.25">
      <c r="A32" s="12" t="s">
        <v>387</v>
      </c>
      <c r="B32" s="12" t="s">
        <v>1337</v>
      </c>
      <c r="C32" s="12">
        <v>-33.800000000000004</v>
      </c>
      <c r="D32" s="12" t="s">
        <v>5</v>
      </c>
      <c r="E32" s="12" t="s">
        <v>8</v>
      </c>
      <c r="G32" s="12" t="s">
        <v>354</v>
      </c>
      <c r="H32" s="12">
        <v>-27.040000000000006</v>
      </c>
      <c r="I32" s="12">
        <v>-40.56</v>
      </c>
    </row>
    <row r="33" spans="1:9" x14ac:dyDescent="0.25">
      <c r="A33" s="12" t="s">
        <v>388</v>
      </c>
      <c r="B33" s="12" t="s">
        <v>1335</v>
      </c>
      <c r="C33" s="12">
        <v>-27.6</v>
      </c>
      <c r="D33" s="12" t="s">
        <v>5</v>
      </c>
      <c r="E33" s="12" t="s">
        <v>8</v>
      </c>
      <c r="G33" s="12" t="s">
        <v>354</v>
      </c>
      <c r="H33" s="12">
        <v>-22.080000000000002</v>
      </c>
      <c r="I33" s="12">
        <v>-33.119999999999997</v>
      </c>
    </row>
    <row r="34" spans="1:9" x14ac:dyDescent="0.25">
      <c r="A34" s="12" t="s">
        <v>389</v>
      </c>
      <c r="B34" s="12" t="s">
        <v>1329</v>
      </c>
      <c r="C34" s="12">
        <v>-45.400000000000006</v>
      </c>
      <c r="D34" s="12" t="s">
        <v>5</v>
      </c>
      <c r="E34" s="12" t="s">
        <v>8</v>
      </c>
      <c r="G34" s="12" t="s">
        <v>354</v>
      </c>
      <c r="H34" s="12">
        <v>-36.320000000000007</v>
      </c>
      <c r="I34" s="12">
        <v>-54.480000000000004</v>
      </c>
    </row>
    <row r="35" spans="1:9" x14ac:dyDescent="0.25">
      <c r="A35" s="12" t="s">
        <v>390</v>
      </c>
      <c r="B35" s="12" t="s">
        <v>2035</v>
      </c>
      <c r="C35" s="12">
        <v>-10</v>
      </c>
      <c r="D35" s="12" t="s">
        <v>5</v>
      </c>
      <c r="E35" s="12" t="s">
        <v>8</v>
      </c>
      <c r="G35" s="12" t="s">
        <v>354</v>
      </c>
      <c r="H35" s="12">
        <v>-8</v>
      </c>
      <c r="I35" s="12">
        <v>-12</v>
      </c>
    </row>
    <row r="36" spans="1:9" x14ac:dyDescent="0.25">
      <c r="A36" s="43" t="s">
        <v>391</v>
      </c>
      <c r="B36" s="43" t="s">
        <v>1583</v>
      </c>
      <c r="C36" s="43">
        <v>-730</v>
      </c>
      <c r="D36" s="43" t="s">
        <v>5</v>
      </c>
      <c r="E36" s="43" t="s">
        <v>8</v>
      </c>
      <c r="F36" s="43"/>
      <c r="G36" s="43" t="s">
        <v>353</v>
      </c>
      <c r="H36" s="43">
        <v>-730</v>
      </c>
      <c r="I36" s="43">
        <v>-730</v>
      </c>
    </row>
    <row r="37" spans="1:9" x14ac:dyDescent="0.25">
      <c r="A37" s="43" t="s">
        <v>392</v>
      </c>
      <c r="B37" s="43" t="s">
        <v>1582</v>
      </c>
      <c r="C37" s="43">
        <v>-409.82</v>
      </c>
      <c r="D37" s="43" t="s">
        <v>5</v>
      </c>
      <c r="E37" s="43" t="s">
        <v>8</v>
      </c>
      <c r="F37" s="43"/>
      <c r="G37" s="43" t="s">
        <v>353</v>
      </c>
      <c r="H37" s="43">
        <v>-409.82</v>
      </c>
      <c r="I37" s="43">
        <v>-409.82</v>
      </c>
    </row>
    <row r="38" spans="1:9" x14ac:dyDescent="0.25">
      <c r="A38" s="43" t="s">
        <v>393</v>
      </c>
      <c r="B38" s="43" t="s">
        <v>1488</v>
      </c>
      <c r="C38" s="43">
        <v>-837.7</v>
      </c>
      <c r="D38" s="43" t="s">
        <v>5</v>
      </c>
      <c r="E38" s="43" t="s">
        <v>8</v>
      </c>
      <c r="F38" s="43"/>
      <c r="G38" s="43" t="s">
        <v>353</v>
      </c>
      <c r="H38" s="43">
        <v>-837.7</v>
      </c>
      <c r="I38" s="43">
        <v>-837.7</v>
      </c>
    </row>
    <row r="39" spans="1:9" x14ac:dyDescent="0.25">
      <c r="A39" s="43" t="s">
        <v>394</v>
      </c>
      <c r="B39" s="43" t="s">
        <v>1463</v>
      </c>
      <c r="C39" s="43">
        <v>-3277.4</v>
      </c>
      <c r="D39" s="43" t="s">
        <v>5</v>
      </c>
      <c r="E39" s="43" t="s">
        <v>8</v>
      </c>
      <c r="F39" s="43"/>
      <c r="G39" s="43" t="s">
        <v>353</v>
      </c>
      <c r="H39" s="43">
        <v>-3277.4</v>
      </c>
      <c r="I39" s="43">
        <v>-3277.4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roads</vt:lpstr>
      <vt:lpstr>structureHs</vt:lpstr>
      <vt:lpstr>fanHs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刘学</dc:creator>
  <cp:lastModifiedBy>泓霖 王</cp:lastModifiedBy>
  <dcterms:created xsi:type="dcterms:W3CDTF">2020-07-02T05:50:00Z</dcterms:created>
  <dcterms:modified xsi:type="dcterms:W3CDTF">2025-12-02T08:09:28Z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